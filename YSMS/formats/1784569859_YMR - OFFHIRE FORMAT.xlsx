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ushat\Downloads\AJ\YMR-TEST\FORMATS FOR SURVEY\"/>
    </mc:Choice>
  </mc:AlternateContent>
  <xr:revisionPtr revIDLastSave="0" documentId="13_ncr:1_{3757DC86-8425-468E-A075-2691659C9735}" xr6:coauthVersionLast="47" xr6:coauthVersionMax="47" xr10:uidLastSave="{00000000-0000-0000-0000-000000000000}"/>
  <bookViews>
    <workbookView xWindow="-108" yWindow="-108" windowWidth="23256" windowHeight="12456" activeTab="1" xr2:uid="{4E1328BF-FCCA-459E-90DE-7F5F1E857F11}"/>
  </bookViews>
  <sheets>
    <sheet name="SHIP DETAILS" sheetId="12" r:id="rId1"/>
    <sheet name="TABLES 54B" sheetId="11" r:id="rId2"/>
    <sheet name="OFFHIRE " sheetId="13" r:id="rId3"/>
    <sheet name="STAMP" sheetId="15" r:id="rId4"/>
    <sheet name="INTERP" sheetId="4" r:id="rId5"/>
    <sheet name="REPORT" sheetId="16" r:id="rId6"/>
  </sheets>
  <definedNames>
    <definedName name="_xlnm.Print_Area" localSheetId="4">INTERP!$A$1:$F$25</definedName>
    <definedName name="_xlnm.Print_Area" localSheetId="2">'OFFHIRE '!$A$1:$K$49</definedName>
    <definedName name="_xlnm.Print_Area" localSheetId="1">'TABLES 54B'!$A$1:$J$83</definedName>
    <definedName name="SSLink_0">#REF!</definedName>
    <definedName name="SSLink_1">#REF!</definedName>
    <definedName name="SSLink_2">#REF!</definedName>
  </definedNames>
  <calcPr calcId="191028" fullPrecision="0" calcComplete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5" i="11" l="1"/>
  <c r="T35" i="11"/>
  <c r="U35" i="11"/>
  <c r="H35" i="11"/>
  <c r="I35" i="11"/>
  <c r="X35" i="11"/>
  <c r="J35" i="11"/>
  <c r="W34" i="11"/>
  <c r="T34" i="11"/>
  <c r="U34" i="11"/>
  <c r="H34" i="11"/>
  <c r="I34" i="11"/>
  <c r="X34" i="11"/>
  <c r="J34" i="11"/>
  <c r="W33" i="11"/>
  <c r="T33" i="11"/>
  <c r="U33" i="11"/>
  <c r="H33" i="11"/>
  <c r="I33" i="11"/>
  <c r="X33" i="11"/>
  <c r="J33" i="11"/>
  <c r="W38" i="11"/>
  <c r="T38" i="11"/>
  <c r="U38" i="11"/>
  <c r="H38" i="11"/>
  <c r="I38" i="11"/>
  <c r="W37" i="11"/>
  <c r="T37" i="11"/>
  <c r="U37" i="11"/>
  <c r="H37" i="11"/>
  <c r="I37" i="11"/>
  <c r="X37" i="11"/>
  <c r="J37" i="11"/>
  <c r="W45" i="11"/>
  <c r="T45" i="11"/>
  <c r="U45" i="11"/>
  <c r="W46" i="11"/>
  <c r="T46" i="11"/>
  <c r="U46" i="11"/>
  <c r="X59" i="11"/>
  <c r="J59" i="11"/>
  <c r="W59" i="11"/>
  <c r="T59" i="11"/>
  <c r="U59" i="11"/>
  <c r="I59" i="11"/>
  <c r="H59" i="11"/>
  <c r="X58" i="11"/>
  <c r="J58" i="11"/>
  <c r="W58" i="11"/>
  <c r="T58" i="11"/>
  <c r="U58" i="11"/>
  <c r="I58" i="11"/>
  <c r="H58" i="11"/>
  <c r="H43" i="13"/>
  <c r="I12" i="13"/>
  <c r="E12" i="13"/>
  <c r="I61" i="11"/>
  <c r="H61" i="11"/>
  <c r="W36" i="11"/>
  <c r="T36" i="11"/>
  <c r="U36" i="11"/>
  <c r="H36" i="11"/>
  <c r="I36" i="11"/>
  <c r="X36" i="11"/>
  <c r="J36" i="11"/>
  <c r="W32" i="11"/>
  <c r="T32" i="11"/>
  <c r="U32" i="11"/>
  <c r="H32" i="11"/>
  <c r="I32" i="11"/>
  <c r="W31" i="11"/>
  <c r="T31" i="11"/>
  <c r="U31" i="11"/>
  <c r="H31" i="11"/>
  <c r="I31" i="11"/>
  <c r="X31" i="11"/>
  <c r="J31" i="11"/>
  <c r="W30" i="11"/>
  <c r="T30" i="11"/>
  <c r="U30" i="11"/>
  <c r="H30" i="11"/>
  <c r="I30" i="11"/>
  <c r="X30" i="11"/>
  <c r="J30" i="11"/>
  <c r="B28" i="16"/>
  <c r="B34" i="16"/>
  <c r="B30" i="16"/>
  <c r="B19" i="16"/>
  <c r="B18" i="16"/>
  <c r="B17" i="16"/>
  <c r="B16" i="16"/>
  <c r="B15" i="16"/>
  <c r="B14" i="16"/>
  <c r="B13" i="16"/>
  <c r="B25" i="16"/>
  <c r="B24" i="16"/>
  <c r="B23" i="16"/>
  <c r="B22" i="16"/>
  <c r="B21" i="16"/>
  <c r="B20" i="16"/>
  <c r="B29" i="16"/>
  <c r="B11" i="16"/>
  <c r="B12" i="16"/>
  <c r="B3" i="16"/>
  <c r="E14" i="11"/>
  <c r="E13" i="11"/>
  <c r="B7" i="16"/>
  <c r="B6" i="16"/>
  <c r="B5" i="16"/>
  <c r="B4" i="16"/>
  <c r="E12" i="11"/>
  <c r="A14" i="13"/>
  <c r="X61" i="11"/>
  <c r="J61" i="11"/>
  <c r="T61" i="11"/>
  <c r="U61" i="11"/>
  <c r="W61" i="11"/>
  <c r="W60" i="11"/>
  <c r="T60" i="11"/>
  <c r="U60" i="11"/>
  <c r="H60" i="11"/>
  <c r="I60" i="11"/>
  <c r="W57" i="11"/>
  <c r="T57" i="11"/>
  <c r="U57" i="11"/>
  <c r="H57" i="11"/>
  <c r="I57" i="11"/>
  <c r="W56" i="11"/>
  <c r="T56" i="11"/>
  <c r="U56" i="11"/>
  <c r="H56" i="11"/>
  <c r="I56" i="11"/>
  <c r="O17" i="11"/>
  <c r="N17" i="11"/>
  <c r="M17" i="11"/>
  <c r="C16" i="11"/>
  <c r="A7" i="11"/>
  <c r="I18" i="11"/>
  <c r="E29" i="13"/>
  <c r="E30" i="13"/>
  <c r="E31" i="13"/>
  <c r="I13" i="11"/>
  <c r="O19" i="11"/>
  <c r="H13" i="11"/>
  <c r="N19" i="11"/>
  <c r="G13" i="11"/>
  <c r="M19" i="11"/>
  <c r="I12" i="11"/>
  <c r="H12" i="11"/>
  <c r="G12" i="11"/>
  <c r="A16" i="13"/>
  <c r="E25" i="13"/>
  <c r="E24" i="13"/>
  <c r="E23" i="13"/>
  <c r="D19" i="13"/>
  <c r="D25" i="13"/>
  <c r="D18" i="13"/>
  <c r="D30" i="13"/>
  <c r="D17" i="13"/>
  <c r="D23" i="13"/>
  <c r="K44" i="13"/>
  <c r="H36" i="13"/>
  <c r="A36" i="13"/>
  <c r="D10" i="13"/>
  <c r="D9" i="13"/>
  <c r="D8" i="13"/>
  <c r="G80" i="11"/>
  <c r="H44" i="13"/>
  <c r="B80" i="11"/>
  <c r="A49" i="13"/>
  <c r="B75" i="11"/>
  <c r="A43" i="13"/>
  <c r="C18" i="11"/>
  <c r="C17" i="11"/>
  <c r="I17" i="11"/>
  <c r="C15" i="11"/>
  <c r="C14" i="11"/>
  <c r="C13" i="11"/>
  <c r="C12" i="11"/>
  <c r="C11" i="11"/>
  <c r="M13" i="11"/>
  <c r="C10" i="11"/>
  <c r="A6" i="11"/>
  <c r="M12" i="11"/>
  <c r="W48" i="11"/>
  <c r="T48" i="11"/>
  <c r="U48" i="11"/>
  <c r="W47" i="11"/>
  <c r="T47" i="11"/>
  <c r="U47" i="11"/>
  <c r="T24" i="11"/>
  <c r="U24" i="11"/>
  <c r="H24" i="11"/>
  <c r="I24" i="11"/>
  <c r="W24" i="11"/>
  <c r="T23" i="11"/>
  <c r="U23" i="11"/>
  <c r="H23" i="11"/>
  <c r="I23" i="11"/>
  <c r="W23" i="11"/>
  <c r="T25" i="11"/>
  <c r="U25" i="11"/>
  <c r="H25" i="11"/>
  <c r="I25" i="11"/>
  <c r="W25" i="11"/>
  <c r="T26" i="11"/>
  <c r="U26" i="11"/>
  <c r="H26" i="11"/>
  <c r="I26" i="11"/>
  <c r="W26" i="11"/>
  <c r="T55" i="11"/>
  <c r="U55" i="11"/>
  <c r="H55" i="11"/>
  <c r="I55" i="11"/>
  <c r="W55" i="11"/>
  <c r="T54" i="11"/>
  <c r="U54" i="11"/>
  <c r="H54" i="11"/>
  <c r="I54" i="11"/>
  <c r="W54" i="11"/>
  <c r="T27" i="11"/>
  <c r="U27" i="11"/>
  <c r="H27" i="11"/>
  <c r="I27" i="11"/>
  <c r="W27" i="11"/>
  <c r="T28" i="11"/>
  <c r="U28" i="11"/>
  <c r="H28" i="11"/>
  <c r="I28" i="11"/>
  <c r="W28" i="11"/>
  <c r="T29" i="11"/>
  <c r="U29" i="11"/>
  <c r="H29" i="11"/>
  <c r="I29" i="11"/>
  <c r="W29" i="11"/>
  <c r="B21" i="4"/>
  <c r="D23" i="4"/>
  <c r="E23" i="4"/>
  <c r="E25" i="4"/>
  <c r="F11" i="4"/>
  <c r="F12" i="4"/>
  <c r="F13" i="4"/>
  <c r="F14" i="4"/>
  <c r="E13" i="4"/>
  <c r="F6" i="4"/>
  <c r="D6" i="4"/>
  <c r="E7" i="4"/>
  <c r="E5" i="4"/>
  <c r="E6" i="4"/>
  <c r="D29" i="13"/>
  <c r="X38" i="11"/>
  <c r="J38" i="11"/>
  <c r="X27" i="11"/>
  <c r="J27" i="11"/>
  <c r="X29" i="11"/>
  <c r="J29" i="11"/>
  <c r="D24" i="13"/>
  <c r="X25" i="11"/>
  <c r="J25" i="11"/>
  <c r="X32" i="11"/>
  <c r="J32" i="11"/>
  <c r="X24" i="11"/>
  <c r="J24" i="11"/>
  <c r="X55" i="11"/>
  <c r="J55" i="11"/>
  <c r="X28" i="11"/>
  <c r="J28" i="11"/>
  <c r="X26" i="11"/>
  <c r="J26" i="11"/>
  <c r="X60" i="11"/>
  <c r="J60" i="11"/>
  <c r="X57" i="11"/>
  <c r="J57" i="11"/>
  <c r="X56" i="11"/>
  <c r="J56" i="11"/>
  <c r="X23" i="11"/>
  <c r="J23" i="11"/>
  <c r="I39" i="11"/>
  <c r="I62" i="11"/>
  <c r="X54" i="11"/>
  <c r="J54" i="11"/>
  <c r="D31" i="13"/>
  <c r="J40" i="11"/>
  <c r="J63" i="11"/>
  <c r="B32" i="16"/>
  <c r="E19" i="13"/>
  <c r="M18" i="11"/>
  <c r="M20" i="11"/>
  <c r="B31" i="16"/>
  <c r="E17" i="13"/>
  <c r="C68" i="11"/>
  <c r="O18" i="11"/>
  <c r="O20" i="11"/>
  <c r="C70" i="11"/>
  <c r="O21" i="11"/>
  <c r="N20" i="11"/>
  <c r="N18" i="11"/>
  <c r="E18" i="13"/>
  <c r="B33" i="16"/>
  <c r="J50" i="11"/>
  <c r="C69" i="11"/>
  <c r="I49"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ILIAS</author>
  </authors>
  <commentList>
    <comment ref="H40" authorId="0" shapeId="0" xr:uid="{4B6BDF4B-5D7C-4836-87B0-2E25C9214608}">
      <text>
        <r>
          <rPr>
            <b/>
            <sz val="8"/>
            <color indexed="81"/>
            <rFont val="Tahoma"/>
            <family val="2"/>
          </rPr>
          <t>IN AIR</t>
        </r>
        <r>
          <rPr>
            <sz val="8"/>
            <color indexed="81"/>
            <rFont val="Tahoma"/>
            <family val="2"/>
          </rPr>
          <t xml:space="preserve">
</t>
        </r>
      </text>
    </comment>
    <comment ref="H50" authorId="0" shapeId="0" xr:uid="{E14A2C65-9DD2-4351-8FD3-1D235881F055}">
      <text>
        <r>
          <rPr>
            <b/>
            <sz val="8"/>
            <color indexed="81"/>
            <rFont val="Tahoma"/>
            <family val="2"/>
          </rPr>
          <t>IN AIR</t>
        </r>
        <r>
          <rPr>
            <sz val="8"/>
            <color indexed="81"/>
            <rFont val="Tahoma"/>
            <family val="2"/>
          </rPr>
          <t xml:space="preserve">
</t>
        </r>
      </text>
    </comment>
    <comment ref="H63" authorId="0" shapeId="0" xr:uid="{7371D59F-4786-4DF4-B7C4-937D213CBBCA}">
      <text>
        <r>
          <rPr>
            <b/>
            <sz val="8"/>
            <color indexed="81"/>
            <rFont val="Tahoma"/>
            <family val="2"/>
          </rPr>
          <t>IN AIR</t>
        </r>
        <r>
          <rPr>
            <sz val="8"/>
            <color indexed="81"/>
            <rFont val="Tahoma"/>
            <family val="2"/>
          </rPr>
          <t xml:space="preserve">
</t>
        </r>
      </text>
    </comment>
  </commentList>
</comments>
</file>

<file path=xl/sharedStrings.xml><?xml version="1.0" encoding="utf-8"?>
<sst xmlns="http://schemas.openxmlformats.org/spreadsheetml/2006/main" count="281" uniqueCount="194">
  <si>
    <t>MT</t>
  </si>
  <si>
    <t>TRIM CORRECTION</t>
  </si>
  <si>
    <t xml:space="preserve">SOUNDING     </t>
  </si>
  <si>
    <t>BUNKERS MIXTURE</t>
  </si>
  <si>
    <t>TONS</t>
  </si>
  <si>
    <t>59 F = 15,00</t>
  </si>
  <si>
    <t>60 F = 15,55556 C</t>
  </si>
  <si>
    <t>Χ</t>
  </si>
  <si>
    <t>M.Tons</t>
  </si>
  <si>
    <t>RESULTS</t>
  </si>
  <si>
    <t>Total</t>
  </si>
  <si>
    <t>AT THE TIME OF SURVEY</t>
  </si>
  <si>
    <t>ROB as per E/R log book</t>
  </si>
  <si>
    <t>ROB as per bunker survey</t>
  </si>
  <si>
    <t>Density</t>
  </si>
  <si>
    <t>Trim:</t>
  </si>
  <si>
    <t xml:space="preserve">Tank </t>
  </si>
  <si>
    <t>Volume</t>
  </si>
  <si>
    <t>Temp</t>
  </si>
  <si>
    <t>V.C.F.</t>
  </si>
  <si>
    <t>G.S.V</t>
  </si>
  <si>
    <t>(m)</t>
  </si>
  <si>
    <t>Cubic Metres</t>
  </si>
  <si>
    <t>@15°C</t>
  </si>
  <si>
    <t>Deg(C )</t>
  </si>
  <si>
    <t>T(54B )</t>
  </si>
  <si>
    <t>m³ @ 15°C</t>
  </si>
  <si>
    <t>TOTAL Cubic Metres @ 15°C</t>
  </si>
  <si>
    <t>Metric</t>
  </si>
  <si>
    <t>Tons</t>
  </si>
  <si>
    <t xml:space="preserve">TOTAL Metric  Tons </t>
  </si>
  <si>
    <t>PRESENT TEMPERATURE</t>
  </si>
  <si>
    <t>REQUIRED TEMPERATURE</t>
  </si>
  <si>
    <t>DIFFERENCE</t>
  </si>
  <si>
    <t>TRANSFER DENSITY OF 20 C TO 15 C.</t>
  </si>
  <si>
    <t>DENSITY ON 15 C</t>
  </si>
  <si>
    <t>Actual</t>
  </si>
  <si>
    <t>Log Book</t>
  </si>
  <si>
    <t>Difference</t>
  </si>
  <si>
    <t>DENSITIES</t>
  </si>
  <si>
    <t>NEW DENSITY :</t>
  </si>
  <si>
    <t>The Master</t>
  </si>
  <si>
    <t>Sdg.  Corr'd</t>
  </si>
  <si>
    <t xml:space="preserve"> </t>
  </si>
  <si>
    <t>Ref. Height</t>
  </si>
  <si>
    <t xml:space="preserve"> (m)</t>
  </si>
  <si>
    <t>HSFO</t>
  </si>
  <si>
    <t>VLSFO</t>
  </si>
  <si>
    <t>The Chief Engineer</t>
  </si>
  <si>
    <t>Independent Marine Surveyor</t>
  </si>
  <si>
    <t>For YMR MARINE SOLUTIONS</t>
  </si>
  <si>
    <t>Survey Started</t>
  </si>
  <si>
    <t>BROB:</t>
  </si>
  <si>
    <t>List</t>
  </si>
  <si>
    <t>Draft Fwd</t>
  </si>
  <si>
    <t>Draft Aft</t>
  </si>
  <si>
    <t>Degrees</t>
  </si>
  <si>
    <t xml:space="preserve">VLSFO </t>
  </si>
  <si>
    <t xml:space="preserve">HSFO </t>
  </si>
  <si>
    <t>Owners</t>
  </si>
  <si>
    <t>Charterers</t>
  </si>
  <si>
    <t>Place of Survey</t>
  </si>
  <si>
    <t>Survey Completed</t>
  </si>
  <si>
    <t>FWE</t>
  </si>
  <si>
    <t>Vessel Name</t>
  </si>
  <si>
    <t>Charterer</t>
  </si>
  <si>
    <t>Name:</t>
  </si>
  <si>
    <t>Voyage No.</t>
  </si>
  <si>
    <t>Meters</t>
  </si>
  <si>
    <t xml:space="preserve">Signed On behalf of </t>
  </si>
  <si>
    <t>All bunker tanks were carefully sounded together with Ch. Engineer/his representative and the  quantities,  as calculated from the vessels calibration tables, were found and agreed to be at the time of survey :</t>
  </si>
  <si>
    <t>B U N K E R  S U R V E Y</t>
  </si>
  <si>
    <t xml:space="preserve">Very Low Sulpher Fuel Oil </t>
  </si>
  <si>
    <t xml:space="preserve">High Sulphur Fuel Oil </t>
  </si>
  <si>
    <t>DENSITY ON 30 C</t>
  </si>
  <si>
    <t>Flag</t>
  </si>
  <si>
    <t>Port of Registry</t>
  </si>
  <si>
    <t>GRT</t>
  </si>
  <si>
    <t>NRT</t>
  </si>
  <si>
    <t>Charterers Name</t>
  </si>
  <si>
    <t>Master Name</t>
  </si>
  <si>
    <t>Chief Engineer Name</t>
  </si>
  <si>
    <t>Surveyor Name</t>
  </si>
  <si>
    <t>FOR OFFHIRE</t>
  </si>
  <si>
    <t>Place of Redelivery</t>
  </si>
  <si>
    <t>Date of Redelivery</t>
  </si>
  <si>
    <t>Time of Redelivery</t>
  </si>
  <si>
    <t>As per Master's Report</t>
  </si>
  <si>
    <t>CERTIFICATE OF OFF-HIRE BUNKER QUANTITY</t>
  </si>
  <si>
    <t>M. Tons</t>
  </si>
  <si>
    <t>The consumption from the time of survey to the time of Redelivery is calculated and verified with the Chief Engineer to be:</t>
  </si>
  <si>
    <t>Consequently, the following Bunkers was onboard at the time of Redelivery:</t>
  </si>
  <si>
    <t>REMARK:</t>
  </si>
  <si>
    <t>Place of Redelivery:</t>
  </si>
  <si>
    <t>Date of Redelivery:</t>
  </si>
  <si>
    <t xml:space="preserve">Time of Redelivery: </t>
  </si>
  <si>
    <t>Date / Time of Survey Completed:</t>
  </si>
  <si>
    <t>Master to confirm by E-Mail [ops@ymrmarine.com] Exact Bunker Quantities ROB at the time of redelivery.</t>
  </si>
  <si>
    <t>NOTE: THIS PAGE IS ONLY FOR INFORMATION TO FILL,NO NEED TO TAKE PRINTOUT.</t>
  </si>
  <si>
    <t>IMO</t>
  </si>
  <si>
    <t>LSMGO</t>
  </si>
  <si>
    <t xml:space="preserve">Low Sulpher Marine Gas Oil </t>
  </si>
  <si>
    <t>SHIP_NAME</t>
  </si>
  <si>
    <t>REPORT_DATE</t>
  </si>
  <si>
    <t>CHARTERER_NAME</t>
  </si>
  <si>
    <t>VOY_NO</t>
  </si>
  <si>
    <t>SURVEY_DATE</t>
  </si>
  <si>
    <t>ALONGSIDE</t>
  </si>
  <si>
    <t>SURVEY_PLACE</t>
  </si>
  <si>
    <t>OWNER_NAME</t>
  </si>
  <si>
    <t>REDELIVERY_TIME_LT</t>
  </si>
  <si>
    <t>REDELIVERY_DATE_LT</t>
  </si>
  <si>
    <t>REDELIVERY_PLACE</t>
  </si>
  <si>
    <t>CAPT_NAME</t>
  </si>
  <si>
    <t>SURVEY_TIME</t>
  </si>
  <si>
    <t>SURVEY_VLSFO</t>
  </si>
  <si>
    <t>SURVEY_LSMGO</t>
  </si>
  <si>
    <t>REDELIVERY_VLSFO</t>
  </si>
  <si>
    <t>REDELIVERY_LSMGO</t>
  </si>
  <si>
    <t>SURVEY_TIME_FROM</t>
  </si>
  <si>
    <t>HOLDS</t>
  </si>
  <si>
    <t>KEEL_LAID_MONTH</t>
  </si>
  <si>
    <t>KEEL_LAID_YEAR</t>
  </si>
  <si>
    <t>OPERATOR_NAME</t>
  </si>
  <si>
    <t>LOA</t>
  </si>
  <si>
    <t>SUMMER_DRAFT</t>
  </si>
  <si>
    <t>SUMMER_DEADWEIGHT</t>
  </si>
  <si>
    <t>SURVEYOR_SIGN</t>
  </si>
  <si>
    <t>SURVEYOR_NAME</t>
  </si>
  <si>
    <t>REPORT_PLACE</t>
  </si>
  <si>
    <t>SURVEY_HSFO</t>
  </si>
  <si>
    <t>REDELIVERY_HSFO</t>
  </si>
  <si>
    <t>CLASS</t>
  </si>
  <si>
    <t>Hrs LT        BROB:</t>
  </si>
  <si>
    <t>Builder</t>
  </si>
  <si>
    <t>Keel laid Month</t>
  </si>
  <si>
    <t>Keel laid Year</t>
  </si>
  <si>
    <t>Manager/Operator Name</t>
  </si>
  <si>
    <t>Callsign</t>
  </si>
  <si>
    <t>Breadth Moulded</t>
  </si>
  <si>
    <t>Summer Deadweight</t>
  </si>
  <si>
    <t>Summer Draft</t>
  </si>
  <si>
    <t>No. Of Holds</t>
  </si>
  <si>
    <t>Class</t>
  </si>
  <si>
    <t>PORT_OF_REGISTRY</t>
  </si>
  <si>
    <t>REDELIVERY_TIME_UTC</t>
  </si>
  <si>
    <t>REDELIVERY_DATE_UTC</t>
  </si>
  <si>
    <t>CHIEF_ENGINEER_NAME</t>
  </si>
  <si>
    <t>CONS_VLSFO</t>
  </si>
  <si>
    <t>CONS_LSMGO</t>
  </si>
  <si>
    <t>CONS_HSFO</t>
  </si>
  <si>
    <t>HOLDS_ALPHA</t>
  </si>
  <si>
    <t>BUILDER_NAME</t>
  </si>
  <si>
    <t>CALL_SIGN</t>
  </si>
  <si>
    <t>LENGTH_OVERALL</t>
  </si>
  <si>
    <t>BREDTH_MOULDED</t>
  </si>
  <si>
    <t>DEPTH_MOULDED</t>
  </si>
  <si>
    <t>Depth Moulded</t>
  </si>
  <si>
    <t>Hrs LT</t>
  </si>
  <si>
    <t>MV. RISHABH</t>
  </si>
  <si>
    <t>MARSHALL ISLANDS</t>
  </si>
  <si>
    <t>MAJURO</t>
  </si>
  <si>
    <t>15 L</t>
  </si>
  <si>
    <t>PRAYAN SHIPPING INC</t>
  </si>
  <si>
    <t>DAVA PTE. LTD</t>
  </si>
  <si>
    <t>25th JANUARY 2026</t>
  </si>
  <si>
    <t>28th JANUARY 2026</t>
  </si>
  <si>
    <t>B#6, GANGAVARAM PORT, INDIA</t>
  </si>
  <si>
    <t>KAMAL PANDEY</t>
  </si>
  <si>
    <t>MUKESH KUMAR</t>
  </si>
  <si>
    <t>ASHOK JANAPALA</t>
  </si>
  <si>
    <t>SOME BUILDER NAME</t>
  </si>
  <si>
    <t>MAY</t>
  </si>
  <si>
    <t>V75A45</t>
  </si>
  <si>
    <t>NKK</t>
  </si>
  <si>
    <t>NO 1 HFO P</t>
  </si>
  <si>
    <t>NO 1 HFO S</t>
  </si>
  <si>
    <t>NO 2 HFO P</t>
  </si>
  <si>
    <t>NO 2 HFO S</t>
  </si>
  <si>
    <t>NO 3 HFO P</t>
  </si>
  <si>
    <t>NO 3 HFO S</t>
  </si>
  <si>
    <t>SETT 1</t>
  </si>
  <si>
    <t>SETT 2</t>
  </si>
  <si>
    <t>SERV 1</t>
  </si>
  <si>
    <t>SERV 2</t>
  </si>
  <si>
    <t>OVERFLOW</t>
  </si>
  <si>
    <t>GAUGE</t>
  </si>
  <si>
    <t>0.21 S</t>
  </si>
  <si>
    <t>MDO P</t>
  </si>
  <si>
    <t>MDO S</t>
  </si>
  <si>
    <t>MDO SERV</t>
  </si>
  <si>
    <t>MDO SETT</t>
  </si>
  <si>
    <t xml:space="preserve">Hrs LT </t>
  </si>
  <si>
    <t>For YMR MARINE SOLUTIONS LLP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</si>
</sst>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General_)"/>
    <numFmt numFmtId="165" formatCode="0.000"/>
    <numFmt numFmtId="166" formatCode="0.0000"/>
    <numFmt numFmtId="167" formatCode="0.00000"/>
    <numFmt numFmtId="168" formatCode="0.0"/>
    <numFmt numFmtId="169" formatCode="#,##0.000"/>
    <numFmt numFmtId="170" formatCode="dd/mm/yy;@"/>
    <numFmt numFmtId="171" formatCode="0.00000000"/>
    <numFmt numFmtId="172" formatCode="[$-F800]dddd\,\ mmmm\ dd\,\ yyyy"/>
    <numFmt numFmtId="173" formatCode="[$-14009]hh:mm;@"/>
  </numFmts>
  <fonts count="48" x14ac:knownFonts="1">
    <font>
      <sz val="10"/>
      <name val="Courier"/>
      <charset val="178"/>
    </font>
    <font>
      <sz val="10"/>
      <name val="Verdana"/>
      <family val="2"/>
      <charset val="161"/>
    </font>
    <font>
      <u/>
      <sz val="14"/>
      <name val="Verdana"/>
      <family val="2"/>
      <charset val="161"/>
    </font>
    <font>
      <b/>
      <sz val="10"/>
      <name val="Verdana"/>
      <family val="2"/>
      <charset val="161"/>
    </font>
    <font>
      <sz val="10"/>
      <name val="Arial"/>
      <family val="2"/>
    </font>
    <font>
      <sz val="26"/>
      <name val="Arial"/>
      <family val="2"/>
    </font>
    <font>
      <sz val="26"/>
      <name val="Arial"/>
      <family val="2"/>
    </font>
    <font>
      <sz val="26"/>
      <color indexed="10"/>
      <name val="Arial"/>
      <family val="2"/>
    </font>
    <font>
      <sz val="14"/>
      <name val="Arial"/>
      <family val="2"/>
    </font>
    <font>
      <sz val="26"/>
      <color indexed="12"/>
      <name val="Arial"/>
      <family val="2"/>
    </font>
    <font>
      <b/>
      <sz val="10"/>
      <name val="Arial"/>
      <family val="2"/>
    </font>
    <font>
      <b/>
      <sz val="12"/>
      <name val="Arial"/>
      <family val="2"/>
    </font>
    <font>
      <b/>
      <u/>
      <sz val="10"/>
      <name val="Arial"/>
      <family val="2"/>
    </font>
    <font>
      <b/>
      <sz val="10"/>
      <name val="Arial"/>
      <family val="2"/>
      <charset val="161"/>
    </font>
    <font>
      <sz val="8"/>
      <name val="Courier"/>
      <charset val="178"/>
    </font>
    <font>
      <b/>
      <sz val="11"/>
      <color indexed="12"/>
      <name val="Arial Unicode MS"/>
      <family val="2"/>
      <charset val="161"/>
    </font>
    <font>
      <sz val="10"/>
      <name val="Times New Roman"/>
      <family val="1"/>
    </font>
    <font>
      <sz val="12"/>
      <name val="Verdana"/>
      <family val="2"/>
      <charset val="161"/>
    </font>
    <font>
      <b/>
      <sz val="11"/>
      <color indexed="12"/>
      <name val="Verdana"/>
      <family val="2"/>
      <charset val="161"/>
    </font>
    <font>
      <b/>
      <sz val="12"/>
      <color indexed="12"/>
      <name val="Verdana"/>
      <family val="2"/>
      <charset val="161"/>
    </font>
    <font>
      <sz val="10"/>
      <name val="Arial Rounded MT Bold"/>
      <family val="2"/>
    </font>
    <font>
      <sz val="9"/>
      <name val="Arial Rounded MT Bold"/>
      <family val="2"/>
    </font>
    <font>
      <sz val="10"/>
      <name val="Tahoma"/>
      <family val="2"/>
    </font>
    <font>
      <b/>
      <sz val="14"/>
      <name val="Arial Rounded MT Bold"/>
      <family val="2"/>
    </font>
    <font>
      <b/>
      <u/>
      <sz val="14"/>
      <name val="Arial Rounded MT Bold"/>
      <family val="2"/>
    </font>
    <font>
      <sz val="10"/>
      <color indexed="8"/>
      <name val="Arial Rounded MT Bold"/>
      <family val="2"/>
    </font>
    <font>
      <b/>
      <sz val="10"/>
      <name val="Times New Roman"/>
      <family val="1"/>
      <charset val="161"/>
    </font>
    <font>
      <sz val="9"/>
      <color indexed="8"/>
      <name val="Arial Rounded MT Bold"/>
      <family val="2"/>
    </font>
    <font>
      <sz val="8"/>
      <color indexed="81"/>
      <name val="Tahoma"/>
      <family val="2"/>
    </font>
    <font>
      <b/>
      <sz val="8"/>
      <color indexed="81"/>
      <name val="Tahoma"/>
      <family val="2"/>
    </font>
    <font>
      <sz val="12"/>
      <name val="Arial Narrow"/>
      <family val="2"/>
      <charset val="161"/>
    </font>
    <font>
      <b/>
      <sz val="10"/>
      <color indexed="8"/>
      <name val="Arial"/>
      <family val="2"/>
      <charset val="161"/>
    </font>
    <font>
      <sz val="10"/>
      <color indexed="10"/>
      <name val="Arial Rounded MT Bold"/>
      <family val="2"/>
    </font>
    <font>
      <sz val="9"/>
      <color indexed="10"/>
      <name val="Arial Rounded MT Bold"/>
      <family val="2"/>
    </font>
    <font>
      <sz val="10"/>
      <color indexed="10"/>
      <name val="Verdana"/>
      <family val="2"/>
      <charset val="161"/>
    </font>
    <font>
      <sz val="10"/>
      <name val="Arial"/>
      <family val="2"/>
      <charset val="161"/>
    </font>
    <font>
      <b/>
      <sz val="9"/>
      <name val="Arial"/>
      <family val="2"/>
      <charset val="161"/>
    </font>
    <font>
      <b/>
      <sz val="9"/>
      <name val="Verdana"/>
      <family val="2"/>
      <charset val="161"/>
    </font>
    <font>
      <sz val="10"/>
      <name val="Arial"/>
      <family val="2"/>
    </font>
    <font>
      <b/>
      <sz val="12"/>
      <name val="Arial Narrow"/>
      <family val="2"/>
    </font>
    <font>
      <sz val="11"/>
      <name val="Arial"/>
      <family val="2"/>
    </font>
    <font>
      <b/>
      <sz val="11"/>
      <name val="Arial"/>
      <family val="2"/>
    </font>
    <font>
      <sz val="15"/>
      <name val="Times New Roman"/>
      <family val="1"/>
    </font>
    <font>
      <sz val="9"/>
      <color theme="1"/>
      <name val="Arial Rounded MT Bold"/>
      <family val="2"/>
    </font>
    <font>
      <b/>
      <sz val="11"/>
      <color rgb="FFFF0000"/>
      <name val="Arial"/>
      <family val="2"/>
    </font>
    <font>
      <sz val="11"/>
      <color indexed="8"/>
      <name val="Arial"/>
      <family val="2"/>
    </font>
    <font>
      <b/>
      <u/>
      <sz val="25"/>
      <color rgb="FFFF0000"/>
      <name val="Arial"/>
      <family val="2"/>
    </font>
    <font>
      <sz val="11"/>
      <name val="Calibri"/>
      <family val="2"/>
      <scheme val="minor"/>
    </font>
  </fonts>
  <fills count="10">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13"/>
        <bgColor indexed="64"/>
      </patternFill>
    </fill>
    <fill>
      <patternFill patternType="solid">
        <fgColor indexed="51"/>
        <bgColor indexed="64"/>
      </patternFill>
    </fill>
    <fill>
      <patternFill patternType="solid">
        <fgColor indexed="14"/>
        <bgColor indexed="64"/>
      </patternFill>
    </fill>
    <fill>
      <patternFill patternType="solid">
        <fgColor indexed="45"/>
        <bgColor indexed="64"/>
      </patternFill>
    </fill>
    <fill>
      <patternFill patternType="solid">
        <fgColor theme="0"/>
        <bgColor indexed="64"/>
      </patternFill>
    </fill>
    <fill>
      <patternFill patternType="solid">
        <fgColor rgb="FFFFFF0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medium">
        <color indexed="64"/>
      </right>
      <top style="medium">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style="medium">
        <color indexed="64"/>
      </left>
      <right style="medium">
        <color indexed="64"/>
      </right>
      <top/>
      <bottom style="medium">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9"/>
      </right>
      <top style="thin">
        <color indexed="64"/>
      </top>
      <bottom style="thin">
        <color indexed="64"/>
      </bottom>
      <diagonal/>
    </border>
    <border>
      <left style="thin">
        <color indexed="9"/>
      </left>
      <right style="thin">
        <color indexed="9"/>
      </right>
      <top style="thin">
        <color indexed="64"/>
      </top>
      <bottom style="thin">
        <color indexed="64"/>
      </bottom>
      <diagonal/>
    </border>
    <border>
      <left style="thin">
        <color indexed="9"/>
      </left>
      <right style="thin">
        <color indexed="64"/>
      </right>
      <top style="thin">
        <color indexed="64"/>
      </top>
      <bottom style="thin">
        <color indexed="64"/>
      </bottom>
      <diagonal/>
    </border>
    <border>
      <left/>
      <right style="thin">
        <color indexed="64"/>
      </right>
      <top/>
      <bottom/>
      <diagonal/>
    </border>
    <border>
      <left/>
      <right style="thin">
        <color indexed="9"/>
      </right>
      <top/>
      <bottom style="thin">
        <color indexed="9"/>
      </bottom>
      <diagonal/>
    </border>
    <border>
      <left/>
      <right style="thin">
        <color indexed="9"/>
      </right>
      <top style="thin">
        <color indexed="9"/>
      </top>
      <bottom style="thin">
        <color indexed="9"/>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164" fontId="0" fillId="0" borderId="0"/>
    <xf numFmtId="0" fontId="4" fillId="0" borderId="0"/>
    <xf numFmtId="0" fontId="16" fillId="0" borderId="0"/>
  </cellStyleXfs>
  <cellXfs count="255">
    <xf numFmtId="164" fontId="0" fillId="0" borderId="0" xfId="0"/>
    <xf numFmtId="0" fontId="4" fillId="0" borderId="0" xfId="1"/>
    <xf numFmtId="0" fontId="6" fillId="0" borderId="0" xfId="1" applyFont="1" applyAlignment="1">
      <alignment horizontal="center"/>
    </xf>
    <xf numFmtId="2" fontId="7" fillId="2" borderId="1" xfId="1" applyNumberFormat="1" applyFont="1" applyFill="1" applyBorder="1" applyAlignment="1">
      <alignment horizontal="center"/>
    </xf>
    <xf numFmtId="0" fontId="6" fillId="3" borderId="0" xfId="1" applyFont="1" applyFill="1" applyAlignment="1">
      <alignment horizontal="center"/>
    </xf>
    <xf numFmtId="0" fontId="6" fillId="4" borderId="2" xfId="1" applyFont="1" applyFill="1" applyBorder="1" applyAlignment="1">
      <alignment horizontal="center"/>
    </xf>
    <xf numFmtId="165" fontId="9" fillId="0" borderId="3" xfId="1" applyNumberFormat="1" applyFont="1" applyBorder="1" applyAlignment="1">
      <alignment horizontal="center"/>
    </xf>
    <xf numFmtId="0" fontId="6" fillId="4" borderId="4" xfId="1" applyFont="1" applyFill="1" applyBorder="1" applyAlignment="1">
      <alignment horizontal="center"/>
    </xf>
    <xf numFmtId="165" fontId="9" fillId="0" borderId="5" xfId="1" applyNumberFormat="1" applyFont="1" applyBorder="1" applyAlignment="1">
      <alignment horizontal="center"/>
    </xf>
    <xf numFmtId="165" fontId="7" fillId="0" borderId="6" xfId="1" applyNumberFormat="1" applyFont="1" applyBorder="1" applyAlignment="1">
      <alignment horizontal="center"/>
    </xf>
    <xf numFmtId="165" fontId="9" fillId="0" borderId="7" xfId="1" applyNumberFormat="1" applyFont="1" applyBorder="1" applyAlignment="1">
      <alignment horizontal="center"/>
    </xf>
    <xf numFmtId="165" fontId="6" fillId="3" borderId="0" xfId="1" applyNumberFormat="1" applyFont="1" applyFill="1" applyAlignment="1">
      <alignment horizontal="center"/>
    </xf>
    <xf numFmtId="0" fontId="6" fillId="4" borderId="8" xfId="1" applyFont="1" applyFill="1" applyBorder="1" applyAlignment="1">
      <alignment horizontal="center"/>
    </xf>
    <xf numFmtId="165" fontId="9" fillId="0" borderId="9" xfId="1" applyNumberFormat="1" applyFont="1" applyBorder="1" applyAlignment="1">
      <alignment horizontal="center"/>
    </xf>
    <xf numFmtId="0" fontId="6" fillId="4" borderId="10" xfId="1" applyFont="1" applyFill="1" applyBorder="1" applyAlignment="1">
      <alignment horizontal="center"/>
    </xf>
    <xf numFmtId="0" fontId="10" fillId="0" borderId="11" xfId="1" applyFont="1" applyBorder="1" applyAlignment="1">
      <alignment horizontal="center"/>
    </xf>
    <xf numFmtId="0" fontId="10" fillId="0" borderId="12" xfId="1" applyFont="1" applyBorder="1" applyAlignment="1">
      <alignment horizontal="center"/>
    </xf>
    <xf numFmtId="0" fontId="10" fillId="0" borderId="13" xfId="1" applyFont="1" applyBorder="1"/>
    <xf numFmtId="0" fontId="11" fillId="0" borderId="0" xfId="1" applyFont="1"/>
    <xf numFmtId="0" fontId="11" fillId="2" borderId="14" xfId="1" applyFont="1" applyFill="1" applyBorder="1"/>
    <xf numFmtId="0" fontId="11" fillId="2" borderId="1" xfId="1" applyFont="1" applyFill="1" applyBorder="1"/>
    <xf numFmtId="0" fontId="11" fillId="0" borderId="15" xfId="1" applyFont="1" applyBorder="1"/>
    <xf numFmtId="0" fontId="11" fillId="2" borderId="15" xfId="1" applyFont="1" applyFill="1" applyBorder="1"/>
    <xf numFmtId="0" fontId="11" fillId="5" borderId="6" xfId="1" applyFont="1" applyFill="1" applyBorder="1"/>
    <xf numFmtId="2" fontId="4" fillId="0" borderId="0" xfId="1" applyNumberFormat="1"/>
    <xf numFmtId="0" fontId="13" fillId="0" borderId="0" xfId="1" applyFont="1"/>
    <xf numFmtId="2" fontId="4" fillId="0" borderId="16" xfId="1" applyNumberFormat="1" applyBorder="1"/>
    <xf numFmtId="0" fontId="10" fillId="6" borderId="0" xfId="1" applyFont="1" applyFill="1"/>
    <xf numFmtId="0" fontId="4" fillId="0" borderId="0" xfId="1" applyAlignment="1">
      <alignment horizontal="center"/>
    </xf>
    <xf numFmtId="2" fontId="4" fillId="0" borderId="0" xfId="1" applyNumberFormat="1" applyAlignment="1">
      <alignment horizontal="center"/>
    </xf>
    <xf numFmtId="0" fontId="4" fillId="0" borderId="6" xfId="1" applyBorder="1" applyAlignment="1">
      <alignment horizontal="center"/>
    </xf>
    <xf numFmtId="167" fontId="11" fillId="7" borderId="6" xfId="1" applyNumberFormat="1" applyFont="1" applyFill="1" applyBorder="1" applyAlignment="1">
      <alignment horizontal="center"/>
    </xf>
    <xf numFmtId="0" fontId="8" fillId="0" borderId="0" xfId="1" applyFont="1" applyAlignment="1">
      <alignment vertical="center"/>
    </xf>
    <xf numFmtId="164" fontId="1" fillId="0" borderId="0" xfId="0" applyFont="1" applyAlignment="1">
      <alignment horizontal="left"/>
    </xf>
    <xf numFmtId="164" fontId="1" fillId="0" borderId="0" xfId="0" applyFont="1"/>
    <xf numFmtId="164" fontId="1" fillId="0" borderId="0" xfId="0" applyFont="1" applyAlignment="1">
      <alignment horizontal="left" vertical="center"/>
    </xf>
    <xf numFmtId="164" fontId="1" fillId="0" borderId="0" xfId="0" applyFont="1" applyAlignment="1">
      <alignment horizontal="center"/>
    </xf>
    <xf numFmtId="0" fontId="20" fillId="0" borderId="0" xfId="2" applyFont="1"/>
    <xf numFmtId="2" fontId="6" fillId="4" borderId="1" xfId="1" applyNumberFormat="1" applyFont="1" applyFill="1" applyBorder="1" applyAlignment="1">
      <alignment horizontal="center"/>
    </xf>
    <xf numFmtId="165" fontId="6" fillId="4" borderId="1" xfId="1" applyNumberFormat="1" applyFont="1" applyFill="1" applyBorder="1" applyAlignment="1">
      <alignment horizontal="center"/>
    </xf>
    <xf numFmtId="165" fontId="7" fillId="4" borderId="1" xfId="1" applyNumberFormat="1" applyFont="1" applyFill="1" applyBorder="1" applyAlignment="1">
      <alignment horizontal="center"/>
    </xf>
    <xf numFmtId="0" fontId="11" fillId="4" borderId="14" xfId="1" applyFont="1" applyFill="1" applyBorder="1"/>
    <xf numFmtId="0" fontId="11" fillId="4" borderId="1" xfId="1" applyFont="1" applyFill="1" applyBorder="1"/>
    <xf numFmtId="0" fontId="4" fillId="4" borderId="6" xfId="1" applyFill="1" applyBorder="1" applyAlignment="1">
      <alignment horizontal="center"/>
    </xf>
    <xf numFmtId="164" fontId="2" fillId="0" borderId="0" xfId="0" applyFont="1" applyAlignment="1">
      <alignment horizontal="center"/>
    </xf>
    <xf numFmtId="0" fontId="38" fillId="0" borderId="17" xfId="2" applyFont="1" applyBorder="1" applyAlignment="1">
      <alignment horizontal="left"/>
    </xf>
    <xf numFmtId="0" fontId="38" fillId="0" borderId="0" xfId="2" applyFont="1"/>
    <xf numFmtId="0" fontId="40" fillId="8" borderId="1" xfId="2" applyFont="1" applyFill="1" applyBorder="1" applyAlignment="1">
      <alignment horizontal="left"/>
    </xf>
    <xf numFmtId="0" fontId="40" fillId="8" borderId="0" xfId="2" applyFont="1" applyFill="1" applyAlignment="1">
      <alignment horizontal="left"/>
    </xf>
    <xf numFmtId="169" fontId="40" fillId="8" borderId="28" xfId="2" applyNumberFormat="1" applyFont="1" applyFill="1" applyBorder="1" applyAlignment="1">
      <alignment horizontal="left"/>
    </xf>
    <xf numFmtId="169" fontId="40" fillId="8" borderId="1" xfId="2" applyNumberFormat="1" applyFont="1" applyFill="1" applyBorder="1" applyAlignment="1">
      <alignment horizontal="left"/>
    </xf>
    <xf numFmtId="169" fontId="40" fillId="8" borderId="0" xfId="2" applyNumberFormat="1" applyFont="1" applyFill="1" applyAlignment="1">
      <alignment horizontal="left"/>
    </xf>
    <xf numFmtId="2" fontId="40" fillId="8" borderId="0" xfId="2" applyNumberFormat="1" applyFont="1" applyFill="1" applyAlignment="1">
      <alignment horizontal="left"/>
    </xf>
    <xf numFmtId="0" fontId="40" fillId="8" borderId="0" xfId="2" applyFont="1" applyFill="1" applyAlignment="1">
      <alignment horizontal="right"/>
    </xf>
    <xf numFmtId="0" fontId="41" fillId="8" borderId="1" xfId="2" applyFont="1" applyFill="1" applyBorder="1" applyAlignment="1">
      <alignment horizontal="left"/>
    </xf>
    <xf numFmtId="169" fontId="41" fillId="8" borderId="0" xfId="2" applyNumberFormat="1" applyFont="1" applyFill="1" applyAlignment="1">
      <alignment horizontal="left"/>
    </xf>
    <xf numFmtId="164" fontId="1" fillId="0" borderId="0" xfId="0" applyFont="1" applyAlignment="1">
      <alignment vertical="center"/>
    </xf>
    <xf numFmtId="164" fontId="34" fillId="0" borderId="0" xfId="0" applyFont="1" applyAlignment="1">
      <alignment horizontal="left"/>
    </xf>
    <xf numFmtId="164" fontId="40" fillId="0" borderId="0" xfId="0" applyFont="1"/>
    <xf numFmtId="164" fontId="40" fillId="8" borderId="0" xfId="0" applyFont="1" applyFill="1"/>
    <xf numFmtId="164" fontId="1" fillId="0" borderId="1" xfId="0" applyFont="1" applyBorder="1" applyAlignment="1">
      <alignment shrinkToFit="1"/>
    </xf>
    <xf numFmtId="164" fontId="40" fillId="0" borderId="0" xfId="0" applyFont="1" applyAlignment="1">
      <alignment horizontal="left" vertical="top" wrapText="1"/>
    </xf>
    <xf numFmtId="164" fontId="40" fillId="0" borderId="0" xfId="0" applyFont="1" applyAlignment="1">
      <alignment horizontal="right"/>
    </xf>
    <xf numFmtId="164" fontId="40" fillId="0" borderId="0" xfId="0" applyFont="1" applyAlignment="1">
      <alignment horizontal="left"/>
    </xf>
    <xf numFmtId="165" fontId="40" fillId="0" borderId="0" xfId="0" applyNumberFormat="1" applyFont="1" applyAlignment="1">
      <alignment horizontal="left"/>
    </xf>
    <xf numFmtId="165" fontId="40" fillId="0" borderId="0" xfId="0" applyNumberFormat="1" applyFont="1"/>
    <xf numFmtId="164" fontId="40" fillId="0" borderId="0" xfId="0" applyFont="1" applyAlignment="1">
      <alignment horizontal="center" vertical="top"/>
    </xf>
    <xf numFmtId="164" fontId="40" fillId="0" borderId="16" xfId="0" applyFont="1" applyBorder="1"/>
    <xf numFmtId="164" fontId="40" fillId="0" borderId="0" xfId="0" applyFont="1" applyAlignment="1">
      <alignment vertical="top"/>
    </xf>
    <xf numFmtId="0" fontId="38" fillId="0" borderId="17" xfId="2" applyFont="1" applyBorder="1"/>
    <xf numFmtId="164" fontId="0" fillId="0" borderId="16" xfId="0" applyBorder="1"/>
    <xf numFmtId="164" fontId="41" fillId="0" borderId="0" xfId="0" applyFont="1"/>
    <xf numFmtId="164" fontId="40" fillId="8" borderId="1" xfId="0" applyFont="1" applyFill="1" applyBorder="1"/>
    <xf numFmtId="0" fontId="40" fillId="8" borderId="0" xfId="2" applyFont="1" applyFill="1"/>
    <xf numFmtId="170" fontId="41" fillId="8" borderId="0" xfId="2" applyNumberFormat="1" applyFont="1" applyFill="1" applyAlignment="1">
      <alignment horizontal="center"/>
    </xf>
    <xf numFmtId="2" fontId="41" fillId="8" borderId="0" xfId="2" applyNumberFormat="1" applyFont="1" applyFill="1" applyAlignment="1">
      <alignment horizontal="center"/>
    </xf>
    <xf numFmtId="164" fontId="47" fillId="0" borderId="1" xfId="0" applyFont="1" applyBorder="1"/>
    <xf numFmtId="0" fontId="40" fillId="8" borderId="1" xfId="2" applyFont="1" applyFill="1" applyBorder="1"/>
    <xf numFmtId="164" fontId="47" fillId="0" borderId="1" xfId="0" applyFont="1" applyBorder="1" applyAlignment="1">
      <alignment horizontal="left"/>
    </xf>
    <xf numFmtId="164" fontId="47" fillId="0" borderId="0" xfId="0" applyFont="1" applyAlignment="1">
      <alignment horizontal="left"/>
    </xf>
    <xf numFmtId="164" fontId="40" fillId="0" borderId="1" xfId="0" applyFont="1" applyBorder="1"/>
    <xf numFmtId="164" fontId="47" fillId="0" borderId="24" xfId="0" applyFont="1" applyBorder="1" applyAlignment="1">
      <alignment horizontal="left"/>
    </xf>
    <xf numFmtId="172" fontId="47" fillId="0" borderId="24" xfId="0" applyNumberFormat="1" applyFont="1" applyBorder="1" applyAlignment="1">
      <alignment horizontal="left"/>
    </xf>
    <xf numFmtId="20" fontId="47" fillId="0" borderId="24" xfId="0" applyNumberFormat="1" applyFont="1" applyBorder="1" applyAlignment="1">
      <alignment horizontal="left"/>
    </xf>
    <xf numFmtId="14" fontId="47" fillId="0" borderId="24" xfId="0" applyNumberFormat="1" applyFont="1" applyBorder="1" applyAlignment="1">
      <alignment horizontal="left"/>
    </xf>
    <xf numFmtId="165" fontId="47" fillId="0" borderId="24" xfId="0" applyNumberFormat="1" applyFont="1" applyBorder="1" applyAlignment="1">
      <alignment horizontal="left"/>
    </xf>
    <xf numFmtId="0" fontId="47" fillId="0" borderId="24" xfId="0" applyNumberFormat="1" applyFont="1" applyBorder="1" applyAlignment="1">
      <alignment horizontal="left"/>
    </xf>
    <xf numFmtId="173" fontId="47" fillId="0" borderId="24" xfId="0" applyNumberFormat="1" applyFont="1" applyBorder="1" applyAlignment="1">
      <alignment horizontal="left"/>
    </xf>
    <xf numFmtId="20" fontId="3" fillId="0" borderId="22" xfId="0" applyNumberFormat="1" applyFont="1" applyBorder="1" applyAlignment="1">
      <alignment horizontal="center" shrinkToFit="1"/>
    </xf>
    <xf numFmtId="0" fontId="3" fillId="0" borderId="24" xfId="0" applyNumberFormat="1" applyFont="1" applyBorder="1" applyAlignment="1">
      <alignment shrinkToFit="1"/>
    </xf>
    <xf numFmtId="0" fontId="16" fillId="8" borderId="0" xfId="2" applyFill="1" applyAlignment="1" applyProtection="1">
      <alignment horizontal="center"/>
      <protection locked="0"/>
    </xf>
    <xf numFmtId="0" fontId="16" fillId="0" borderId="0" xfId="2" applyProtection="1">
      <protection locked="0"/>
    </xf>
    <xf numFmtId="0" fontId="24" fillId="8" borderId="0" xfId="2" applyFont="1" applyFill="1" applyAlignment="1" applyProtection="1">
      <alignment horizontal="center"/>
      <protection locked="0"/>
    </xf>
    <xf numFmtId="0" fontId="22" fillId="8" borderId="0" xfId="2" applyFont="1" applyFill="1" applyProtection="1">
      <protection locked="0"/>
    </xf>
    <xf numFmtId="0" fontId="23" fillId="8" borderId="0" xfId="2" applyFont="1" applyFill="1" applyAlignment="1" applyProtection="1">
      <alignment horizontal="centerContinuous"/>
      <protection locked="0"/>
    </xf>
    <xf numFmtId="0" fontId="24" fillId="8" borderId="0" xfId="2" applyFont="1" applyFill="1" applyProtection="1">
      <protection locked="0"/>
    </xf>
    <xf numFmtId="0" fontId="40" fillId="8" borderId="1" xfId="2" applyFont="1" applyFill="1" applyBorder="1" applyAlignment="1" applyProtection="1">
      <alignment horizontal="left"/>
      <protection locked="0"/>
    </xf>
    <xf numFmtId="0" fontId="40" fillId="8" borderId="0" xfId="2" applyFont="1" applyFill="1" applyAlignment="1" applyProtection="1">
      <alignment horizontal="left"/>
      <protection locked="0"/>
    </xf>
    <xf numFmtId="169" fontId="16" fillId="0" borderId="0" xfId="2" applyNumberFormat="1" applyProtection="1">
      <protection locked="0"/>
    </xf>
    <xf numFmtId="165" fontId="16" fillId="0" borderId="0" xfId="2" applyNumberFormat="1" applyProtection="1">
      <protection locked="0"/>
    </xf>
    <xf numFmtId="166" fontId="16" fillId="0" borderId="0" xfId="2" applyNumberFormat="1" applyProtection="1">
      <protection locked="0"/>
    </xf>
    <xf numFmtId="169" fontId="40" fillId="8" borderId="28" xfId="2" applyNumberFormat="1" applyFont="1" applyFill="1" applyBorder="1" applyAlignment="1" applyProtection="1">
      <alignment horizontal="left"/>
      <protection locked="0"/>
    </xf>
    <xf numFmtId="0" fontId="40" fillId="8" borderId="0" xfId="2" applyFont="1" applyFill="1" applyAlignment="1" applyProtection="1">
      <alignment horizontal="right"/>
      <protection locked="0"/>
    </xf>
    <xf numFmtId="169" fontId="40" fillId="8" borderId="0" xfId="2" applyNumberFormat="1" applyFont="1" applyFill="1" applyAlignment="1" applyProtection="1">
      <alignment horizontal="left"/>
      <protection locked="0"/>
    </xf>
    <xf numFmtId="0" fontId="20" fillId="0" borderId="0" xfId="2" applyFont="1" applyAlignment="1" applyProtection="1">
      <alignment horizontal="center"/>
      <protection locked="0"/>
    </xf>
    <xf numFmtId="0" fontId="41" fillId="8" borderId="1" xfId="2" applyFont="1" applyFill="1" applyBorder="1" applyAlignment="1" applyProtection="1">
      <alignment horizontal="left"/>
      <protection locked="0"/>
    </xf>
    <xf numFmtId="0" fontId="41" fillId="8" borderId="0" xfId="2" applyFont="1" applyFill="1" applyAlignment="1" applyProtection="1">
      <alignment horizontal="right"/>
      <protection locked="0"/>
    </xf>
    <xf numFmtId="169" fontId="41" fillId="8" borderId="0" xfId="2" applyNumberFormat="1" applyFont="1" applyFill="1" applyAlignment="1" applyProtection="1">
      <alignment horizontal="left"/>
      <protection locked="0"/>
    </xf>
    <xf numFmtId="0" fontId="15" fillId="0" borderId="22" xfId="2" applyFont="1" applyBorder="1" applyAlignment="1" applyProtection="1">
      <alignment horizontal="center" vertical="center"/>
      <protection locked="0"/>
    </xf>
    <xf numFmtId="0" fontId="15" fillId="0" borderId="23" xfId="2" applyFont="1" applyBorder="1" applyAlignment="1" applyProtection="1">
      <alignment horizontal="center" vertical="center"/>
      <protection locked="0"/>
    </xf>
    <xf numFmtId="0" fontId="15" fillId="0" borderId="24" xfId="2" applyFont="1" applyBorder="1" applyAlignment="1" applyProtection="1">
      <alignment horizontal="center" vertical="center"/>
      <protection locked="0"/>
    </xf>
    <xf numFmtId="2" fontId="40" fillId="8" borderId="0" xfId="2" applyNumberFormat="1" applyFont="1" applyFill="1" applyAlignment="1" applyProtection="1">
      <alignment horizontal="left"/>
      <protection locked="0"/>
    </xf>
    <xf numFmtId="0" fontId="40" fillId="0" borderId="0" xfId="2" applyFont="1" applyAlignment="1" applyProtection="1">
      <alignment horizontal="left"/>
      <protection locked="0"/>
    </xf>
    <xf numFmtId="170" fontId="40" fillId="8" borderId="1" xfId="2" applyNumberFormat="1" applyFont="1" applyFill="1" applyBorder="1" applyAlignment="1" applyProtection="1">
      <alignment horizontal="left"/>
      <protection locked="0"/>
    </xf>
    <xf numFmtId="0" fontId="20" fillId="8" borderId="1" xfId="2" applyFont="1" applyFill="1" applyBorder="1" applyAlignment="1" applyProtection="1">
      <alignment horizontal="center"/>
      <protection locked="0"/>
    </xf>
    <xf numFmtId="164" fontId="1" fillId="0" borderId="29" xfId="0" applyFont="1" applyBorder="1" applyProtection="1">
      <protection locked="0"/>
    </xf>
    <xf numFmtId="164" fontId="17" fillId="0" borderId="0" xfId="0" applyFont="1" applyProtection="1">
      <protection locked="0"/>
    </xf>
    <xf numFmtId="0" fontId="30" fillId="8" borderId="0" xfId="2" applyFont="1" applyFill="1" applyProtection="1">
      <protection locked="0"/>
    </xf>
    <xf numFmtId="0" fontId="30" fillId="8" borderId="0" xfId="2" applyFont="1" applyFill="1" applyAlignment="1" applyProtection="1">
      <alignment horizontal="left"/>
      <protection locked="0"/>
    </xf>
    <xf numFmtId="170" fontId="39" fillId="8" borderId="0" xfId="2" applyNumberFormat="1" applyFont="1" applyFill="1" applyAlignment="1" applyProtection="1">
      <alignment horizontal="center"/>
      <protection locked="0"/>
    </xf>
    <xf numFmtId="2" fontId="39" fillId="8" borderId="0" xfId="2" applyNumberFormat="1" applyFont="1" applyFill="1" applyAlignment="1" applyProtection="1">
      <alignment horizontal="center"/>
      <protection locked="0"/>
    </xf>
    <xf numFmtId="164" fontId="1" fillId="0" borderId="30" xfId="0" applyFont="1" applyBorder="1" applyProtection="1">
      <protection locked="0"/>
    </xf>
    <xf numFmtId="0" fontId="20" fillId="8" borderId="0" xfId="2" applyFont="1" applyFill="1" applyProtection="1">
      <protection locked="0"/>
    </xf>
    <xf numFmtId="2" fontId="20" fillId="8" borderId="0" xfId="2" applyNumberFormat="1" applyFont="1" applyFill="1" applyAlignment="1" applyProtection="1">
      <alignment horizontal="left"/>
      <protection locked="0"/>
    </xf>
    <xf numFmtId="0" fontId="21" fillId="8" borderId="2" xfId="2" applyFont="1" applyFill="1" applyBorder="1" applyAlignment="1" applyProtection="1">
      <alignment horizontal="center"/>
      <protection locked="0"/>
    </xf>
    <xf numFmtId="0" fontId="21" fillId="8" borderId="32" xfId="2" applyFont="1" applyFill="1" applyBorder="1" applyAlignment="1" applyProtection="1">
      <alignment horizontal="center"/>
      <protection locked="0"/>
    </xf>
    <xf numFmtId="0" fontId="21" fillId="8" borderId="8" xfId="2" applyFont="1" applyFill="1" applyBorder="1" applyAlignment="1" applyProtection="1">
      <alignment horizontal="center"/>
      <protection locked="0"/>
    </xf>
    <xf numFmtId="0" fontId="21" fillId="8" borderId="8" xfId="2" quotePrefix="1" applyFont="1" applyFill="1" applyBorder="1" applyAlignment="1" applyProtection="1">
      <alignment horizontal="center"/>
      <protection locked="0"/>
    </xf>
    <xf numFmtId="0" fontId="21" fillId="8" borderId="31" xfId="2" applyFont="1" applyFill="1" applyBorder="1" applyAlignment="1" applyProtection="1">
      <alignment horizontal="center"/>
      <protection locked="0"/>
    </xf>
    <xf numFmtId="0" fontId="35" fillId="8" borderId="31" xfId="2" applyFont="1" applyFill="1" applyBorder="1" applyAlignment="1" applyProtection="1">
      <alignment horizontal="left"/>
      <protection locked="0"/>
    </xf>
    <xf numFmtId="169" fontId="35" fillId="8" borderId="31" xfId="2" applyNumberFormat="1" applyFont="1" applyFill="1" applyBorder="1" applyAlignment="1" applyProtection="1">
      <alignment horizontal="center"/>
      <protection locked="0"/>
    </xf>
    <xf numFmtId="165" fontId="35" fillId="8" borderId="31" xfId="2" applyNumberFormat="1" applyFont="1" applyFill="1" applyBorder="1" applyAlignment="1" applyProtection="1">
      <alignment horizontal="center"/>
      <protection locked="0"/>
    </xf>
    <xf numFmtId="166" fontId="35" fillId="8" borderId="31" xfId="2" applyNumberFormat="1" applyFont="1" applyFill="1" applyBorder="1" applyAlignment="1" applyProtection="1">
      <alignment horizontal="center"/>
      <protection locked="0"/>
    </xf>
    <xf numFmtId="168" fontId="35" fillId="8" borderId="31" xfId="2" applyNumberFormat="1" applyFont="1" applyFill="1" applyBorder="1" applyAlignment="1" applyProtection="1">
      <alignment horizontal="center"/>
      <protection locked="0"/>
    </xf>
    <xf numFmtId="171" fontId="16" fillId="0" borderId="0" xfId="2" applyNumberFormat="1" applyProtection="1">
      <protection locked="0"/>
    </xf>
    <xf numFmtId="169" fontId="35" fillId="8" borderId="1" xfId="2" applyNumberFormat="1" applyFont="1" applyFill="1" applyBorder="1" applyAlignment="1" applyProtection="1">
      <alignment horizontal="center"/>
      <protection locked="0"/>
    </xf>
    <xf numFmtId="165" fontId="35" fillId="8" borderId="1" xfId="2" applyNumberFormat="1" applyFont="1" applyFill="1" applyBorder="1" applyAlignment="1" applyProtection="1">
      <alignment horizontal="center"/>
      <protection locked="0"/>
    </xf>
    <xf numFmtId="166" fontId="35" fillId="8" borderId="1" xfId="2" applyNumberFormat="1" applyFont="1" applyFill="1" applyBorder="1" applyAlignment="1" applyProtection="1">
      <alignment horizontal="center"/>
      <protection locked="0"/>
    </xf>
    <xf numFmtId="0" fontId="35" fillId="8" borderId="1" xfId="2" applyFont="1" applyFill="1" applyBorder="1" applyAlignment="1" applyProtection="1">
      <alignment horizontal="left"/>
      <protection locked="0"/>
    </xf>
    <xf numFmtId="2" fontId="35" fillId="8" borderId="1" xfId="2" applyNumberFormat="1" applyFont="1" applyFill="1" applyBorder="1" applyAlignment="1" applyProtection="1">
      <alignment horizontal="center"/>
      <protection locked="0"/>
    </xf>
    <xf numFmtId="168" fontId="35" fillId="8" borderId="1" xfId="2" applyNumberFormat="1" applyFont="1" applyFill="1" applyBorder="1" applyAlignment="1" applyProtection="1">
      <alignment horizontal="center"/>
      <protection locked="0"/>
    </xf>
    <xf numFmtId="0" fontId="13" fillId="8" borderId="0" xfId="2" applyFont="1" applyFill="1" applyProtection="1">
      <protection locked="0"/>
    </xf>
    <xf numFmtId="169" fontId="3" fillId="8" borderId="31" xfId="2" applyNumberFormat="1" applyFont="1" applyFill="1" applyBorder="1" applyProtection="1">
      <protection locked="0"/>
    </xf>
    <xf numFmtId="169" fontId="13" fillId="8" borderId="31" xfId="2" applyNumberFormat="1" applyFont="1" applyFill="1" applyBorder="1" applyProtection="1">
      <protection locked="0"/>
    </xf>
    <xf numFmtId="165" fontId="13" fillId="8" borderId="0" xfId="2" applyNumberFormat="1" applyFont="1" applyFill="1" applyProtection="1">
      <protection locked="0"/>
    </xf>
    <xf numFmtId="0" fontId="36" fillId="8" borderId="0" xfId="2" applyFont="1" applyFill="1" applyProtection="1">
      <protection locked="0"/>
    </xf>
    <xf numFmtId="169" fontId="37" fillId="8" borderId="1" xfId="2" applyNumberFormat="1" applyFont="1" applyFill="1" applyBorder="1" applyProtection="1">
      <protection locked="0"/>
    </xf>
    <xf numFmtId="0" fontId="21" fillId="8" borderId="0" xfId="2" applyFont="1" applyFill="1" applyProtection="1">
      <protection locked="0"/>
    </xf>
    <xf numFmtId="169" fontId="20" fillId="8" borderId="0" xfId="2" applyNumberFormat="1" applyFont="1" applyFill="1" applyProtection="1">
      <protection locked="0"/>
    </xf>
    <xf numFmtId="4" fontId="3" fillId="0" borderId="0" xfId="2" applyNumberFormat="1" applyFont="1" applyProtection="1">
      <protection locked="0"/>
    </xf>
    <xf numFmtId="0" fontId="26" fillId="0" borderId="0" xfId="2" applyFont="1" applyAlignment="1" applyProtection="1">
      <alignment horizontal="center"/>
      <protection locked="0"/>
    </xf>
    <xf numFmtId="0" fontId="22" fillId="0" borderId="0" xfId="2" applyFont="1" applyProtection="1">
      <protection locked="0"/>
    </xf>
    <xf numFmtId="0" fontId="25" fillId="0" borderId="0" xfId="2" applyFont="1" applyProtection="1">
      <protection locked="0"/>
    </xf>
    <xf numFmtId="0" fontId="27" fillId="0" borderId="0" xfId="2" applyFont="1" applyProtection="1">
      <protection locked="0"/>
    </xf>
    <xf numFmtId="169" fontId="25" fillId="0" borderId="0" xfId="2" applyNumberFormat="1" applyFont="1" applyProtection="1">
      <protection locked="0"/>
    </xf>
    <xf numFmtId="0" fontId="25" fillId="0" borderId="0" xfId="2" applyFont="1" applyAlignment="1" applyProtection="1">
      <alignment horizontal="left"/>
      <protection locked="0"/>
    </xf>
    <xf numFmtId="0" fontId="20" fillId="0" borderId="0" xfId="2" applyFont="1" applyProtection="1">
      <protection locked="0"/>
    </xf>
    <xf numFmtId="0" fontId="25" fillId="0" borderId="1" xfId="2" applyFont="1" applyBorder="1" applyAlignment="1" applyProtection="1">
      <alignment horizontal="center"/>
      <protection locked="0"/>
    </xf>
    <xf numFmtId="169" fontId="31" fillId="0" borderId="1" xfId="2" applyNumberFormat="1" applyFont="1" applyBorder="1" applyAlignment="1" applyProtection="1">
      <alignment horizontal="center"/>
      <protection locked="0"/>
    </xf>
    <xf numFmtId="165" fontId="13" fillId="0" borderId="0" xfId="2" applyNumberFormat="1" applyFont="1" applyAlignment="1" applyProtection="1">
      <alignment horizontal="center"/>
      <protection locked="0"/>
    </xf>
    <xf numFmtId="0" fontId="20" fillId="0" borderId="1" xfId="2" applyFont="1" applyBorder="1" applyAlignment="1" applyProtection="1">
      <alignment horizontal="center"/>
      <protection locked="0"/>
    </xf>
    <xf numFmtId="169" fontId="31" fillId="0" borderId="0" xfId="2" applyNumberFormat="1" applyFont="1" applyAlignment="1" applyProtection="1">
      <alignment horizontal="right"/>
      <protection locked="0"/>
    </xf>
    <xf numFmtId="0" fontId="25" fillId="0" borderId="16" xfId="2" applyFont="1" applyBorder="1" applyProtection="1">
      <protection locked="0"/>
    </xf>
    <xf numFmtId="169" fontId="31" fillId="0" borderId="16" xfId="2" applyNumberFormat="1" applyFont="1" applyBorder="1" applyProtection="1">
      <protection locked="0"/>
    </xf>
    <xf numFmtId="0" fontId="38" fillId="0" borderId="0" xfId="2" applyFont="1" applyProtection="1">
      <protection locked="0"/>
    </xf>
    <xf numFmtId="0" fontId="32" fillId="0" borderId="0" xfId="2" applyFont="1" applyProtection="1">
      <protection locked="0"/>
    </xf>
    <xf numFmtId="0" fontId="43" fillId="0" borderId="0" xfId="2" applyFont="1" applyProtection="1">
      <protection locked="0"/>
    </xf>
    <xf numFmtId="0" fontId="20" fillId="0" borderId="16" xfId="2" applyFont="1" applyBorder="1" applyProtection="1">
      <protection locked="0"/>
    </xf>
    <xf numFmtId="0" fontId="38" fillId="0" borderId="17" xfId="2" applyFont="1" applyBorder="1" applyAlignment="1" applyProtection="1">
      <alignment horizontal="left"/>
      <protection locked="0"/>
    </xf>
    <xf numFmtId="0" fontId="33" fillId="0" borderId="0" xfId="2" applyFont="1" applyProtection="1">
      <protection locked="0"/>
    </xf>
    <xf numFmtId="20" fontId="40" fillId="8" borderId="1" xfId="2" applyNumberFormat="1" applyFont="1" applyFill="1" applyBorder="1" applyAlignment="1">
      <alignment horizontal="center"/>
    </xf>
    <xf numFmtId="20" fontId="41" fillId="8" borderId="1" xfId="2" applyNumberFormat="1" applyFont="1" applyFill="1" applyBorder="1" applyAlignment="1">
      <alignment horizontal="center"/>
    </xf>
    <xf numFmtId="2" fontId="40" fillId="8" borderId="1" xfId="2" applyNumberFormat="1" applyFont="1" applyFill="1" applyBorder="1" applyAlignment="1">
      <alignment horizontal="left"/>
    </xf>
    <xf numFmtId="169" fontId="1" fillId="0" borderId="1" xfId="2" applyNumberFormat="1" applyFont="1" applyBorder="1"/>
    <xf numFmtId="169" fontId="3" fillId="4" borderId="1" xfId="2" applyNumberFormat="1" applyFont="1" applyFill="1" applyBorder="1"/>
    <xf numFmtId="169" fontId="16" fillId="0" borderId="1" xfId="2" applyNumberFormat="1" applyBorder="1"/>
    <xf numFmtId="169" fontId="31" fillId="0" borderId="1" xfId="2" applyNumberFormat="1" applyFont="1" applyBorder="1" applyAlignment="1">
      <alignment horizontal="center"/>
    </xf>
    <xf numFmtId="169" fontId="25" fillId="0" borderId="1" xfId="2" applyNumberFormat="1" applyFont="1" applyBorder="1" applyAlignment="1">
      <alignment horizontal="center"/>
    </xf>
    <xf numFmtId="165" fontId="13" fillId="0" borderId="1" xfId="2" applyNumberFormat="1" applyFont="1" applyBorder="1" applyAlignment="1">
      <alignment horizontal="center"/>
    </xf>
    <xf numFmtId="0" fontId="40" fillId="8" borderId="1" xfId="2" applyFont="1" applyFill="1" applyBorder="1" applyAlignment="1">
      <alignment horizontal="left"/>
    </xf>
    <xf numFmtId="0" fontId="40" fillId="8" borderId="0" xfId="2" applyFont="1" applyFill="1" applyAlignment="1">
      <alignment horizontal="center"/>
    </xf>
    <xf numFmtId="164" fontId="44" fillId="9" borderId="1" xfId="0" applyFont="1" applyFill="1" applyBorder="1" applyAlignment="1">
      <alignment horizontal="center" vertical="center"/>
    </xf>
    <xf numFmtId="164" fontId="40" fillId="8" borderId="1" xfId="0" applyFont="1" applyFill="1" applyBorder="1" applyAlignment="1">
      <alignment horizontal="left"/>
    </xf>
    <xf numFmtId="0" fontId="40" fillId="8" borderId="22" xfId="2" applyFont="1" applyFill="1" applyBorder="1" applyAlignment="1">
      <alignment horizontal="left"/>
    </xf>
    <xf numFmtId="0" fontId="40" fillId="8" borderId="23" xfId="2" applyFont="1" applyFill="1" applyBorder="1" applyAlignment="1">
      <alignment horizontal="left"/>
    </xf>
    <xf numFmtId="0" fontId="40" fillId="8" borderId="24" xfId="2" applyFont="1" applyFill="1" applyBorder="1" applyAlignment="1">
      <alignment horizontal="left"/>
    </xf>
    <xf numFmtId="164" fontId="46" fillId="9" borderId="1" xfId="0" applyFont="1" applyFill="1" applyBorder="1" applyAlignment="1">
      <alignment horizontal="left" vertical="center" wrapText="1"/>
    </xf>
    <xf numFmtId="164" fontId="40" fillId="0" borderId="1" xfId="0" applyFont="1" applyBorder="1" applyAlignment="1">
      <alignment horizontal="left"/>
    </xf>
    <xf numFmtId="164" fontId="40" fillId="0" borderId="22" xfId="0" applyFont="1" applyBorder="1" applyAlignment="1">
      <alignment horizontal="left"/>
    </xf>
    <xf numFmtId="164" fontId="40" fillId="0" borderId="23" xfId="0" applyFont="1" applyBorder="1" applyAlignment="1">
      <alignment horizontal="left"/>
    </xf>
    <xf numFmtId="164" fontId="40" fillId="0" borderId="24" xfId="0" applyFont="1" applyBorder="1" applyAlignment="1">
      <alignment horizontal="left"/>
    </xf>
    <xf numFmtId="164" fontId="40" fillId="8" borderId="0" xfId="0" applyFont="1" applyFill="1" applyAlignment="1">
      <alignment horizontal="left"/>
    </xf>
    <xf numFmtId="164" fontId="44" fillId="8" borderId="0" xfId="0" applyFont="1" applyFill="1" applyAlignment="1">
      <alignment horizontal="center" vertical="center"/>
    </xf>
    <xf numFmtId="20" fontId="40" fillId="8" borderId="22" xfId="2" applyNumberFormat="1" applyFont="1" applyFill="1" applyBorder="1" applyAlignment="1">
      <alignment horizontal="center"/>
    </xf>
    <xf numFmtId="0" fontId="40" fillId="8" borderId="24" xfId="2" applyFont="1" applyFill="1" applyBorder="1" applyAlignment="1">
      <alignment horizontal="center"/>
    </xf>
    <xf numFmtId="20" fontId="40" fillId="8" borderId="23" xfId="2" applyNumberFormat="1" applyFont="1" applyFill="1" applyBorder="1" applyAlignment="1">
      <alignment horizontal="center"/>
    </xf>
    <xf numFmtId="20" fontId="41" fillId="8" borderId="23" xfId="2" applyNumberFormat="1" applyFont="1" applyFill="1" applyBorder="1" applyAlignment="1">
      <alignment horizontal="center"/>
    </xf>
    <xf numFmtId="0" fontId="41" fillId="8" borderId="24" xfId="2" applyFont="1" applyFill="1" applyBorder="1" applyAlignment="1">
      <alignment horizontal="center"/>
    </xf>
    <xf numFmtId="164" fontId="40" fillId="0" borderId="0" xfId="0" applyFont="1" applyAlignment="1">
      <alignment horizontal="left"/>
    </xf>
    <xf numFmtId="0" fontId="20" fillId="0" borderId="0" xfId="2" applyFont="1" applyProtection="1">
      <protection locked="0"/>
    </xf>
    <xf numFmtId="0" fontId="20" fillId="0" borderId="0" xfId="2" applyFont="1" applyAlignment="1" applyProtection="1">
      <alignment horizontal="left"/>
      <protection locked="0"/>
    </xf>
    <xf numFmtId="0" fontId="18" fillId="0" borderId="22" xfId="2" applyFont="1" applyBorder="1" applyAlignment="1" applyProtection="1">
      <alignment horizontal="center" vertical="center"/>
      <protection locked="0"/>
    </xf>
    <xf numFmtId="0" fontId="18" fillId="0" borderId="23" xfId="2" applyFont="1" applyBorder="1" applyAlignment="1" applyProtection="1">
      <alignment horizontal="center" vertical="center"/>
      <protection locked="0"/>
    </xf>
    <xf numFmtId="0" fontId="18" fillId="0" borderId="24" xfId="2" applyFont="1" applyBorder="1" applyAlignment="1" applyProtection="1">
      <alignment horizontal="center" vertical="center"/>
      <protection locked="0"/>
    </xf>
    <xf numFmtId="0" fontId="19" fillId="0" borderId="0" xfId="2" applyFont="1" applyAlignment="1" applyProtection="1">
      <alignment horizontal="center"/>
      <protection locked="0"/>
    </xf>
    <xf numFmtId="0" fontId="15" fillId="0" borderId="25" xfId="2" applyFont="1" applyBorder="1" applyAlignment="1" applyProtection="1">
      <alignment horizontal="center" vertical="center"/>
      <protection locked="0"/>
    </xf>
    <xf numFmtId="0" fontId="15" fillId="0" borderId="26" xfId="2" applyFont="1" applyBorder="1" applyAlignment="1" applyProtection="1">
      <alignment horizontal="center" vertical="center"/>
      <protection locked="0"/>
    </xf>
    <xf numFmtId="0" fontId="15" fillId="0" borderId="27" xfId="2" applyFont="1" applyBorder="1" applyAlignment="1" applyProtection="1">
      <alignment horizontal="center" vertical="center"/>
      <protection locked="0"/>
    </xf>
    <xf numFmtId="0" fontId="36" fillId="8" borderId="1" xfId="2" applyFont="1" applyFill="1" applyBorder="1" applyAlignment="1" applyProtection="1">
      <alignment horizontal="right"/>
      <protection locked="0"/>
    </xf>
    <xf numFmtId="0" fontId="36" fillId="8" borderId="33" xfId="2" applyFont="1" applyFill="1" applyBorder="1" applyProtection="1">
      <protection locked="0"/>
    </xf>
    <xf numFmtId="0" fontId="36" fillId="8" borderId="31" xfId="2" applyFont="1" applyFill="1" applyBorder="1" applyProtection="1">
      <protection locked="0"/>
    </xf>
    <xf numFmtId="0" fontId="23" fillId="8" borderId="0" xfId="2" applyFont="1" applyFill="1" applyAlignment="1" applyProtection="1">
      <alignment horizontal="left"/>
      <protection locked="0"/>
    </xf>
    <xf numFmtId="0" fontId="25" fillId="0" borderId="0" xfId="2" applyFont="1" applyAlignment="1" applyProtection="1">
      <alignment horizontal="left" wrapText="1"/>
      <protection locked="0"/>
    </xf>
    <xf numFmtId="0" fontId="20" fillId="0" borderId="0" xfId="2" applyFont="1" applyAlignment="1" applyProtection="1">
      <alignment horizontal="center"/>
      <protection locked="0"/>
    </xf>
    <xf numFmtId="3" fontId="18" fillId="0" borderId="22" xfId="2" applyNumberFormat="1" applyFont="1" applyBorder="1" applyAlignment="1">
      <alignment horizontal="center" vertical="center"/>
    </xf>
    <xf numFmtId="0" fontId="18" fillId="0" borderId="23" xfId="2" applyFont="1" applyBorder="1" applyAlignment="1">
      <alignment horizontal="center" vertical="center"/>
    </xf>
    <xf numFmtId="0" fontId="18" fillId="0" borderId="24" xfId="2" applyFont="1" applyBorder="1" applyAlignment="1">
      <alignment horizontal="center" vertical="center"/>
    </xf>
    <xf numFmtId="0" fontId="18" fillId="0" borderId="22" xfId="2" applyFont="1" applyBorder="1" applyAlignment="1">
      <alignment horizontal="center" vertical="center"/>
    </xf>
    <xf numFmtId="0" fontId="42" fillId="0" borderId="1" xfId="2" applyFont="1" applyBorder="1" applyAlignment="1" applyProtection="1">
      <alignment horizontal="right"/>
      <protection locked="0"/>
    </xf>
    <xf numFmtId="0" fontId="41" fillId="8" borderId="1" xfId="2" applyFont="1" applyFill="1" applyBorder="1" applyAlignment="1">
      <alignment horizontal="center"/>
    </xf>
    <xf numFmtId="0" fontId="40" fillId="8" borderId="0" xfId="2" applyFont="1" applyFill="1" applyAlignment="1" applyProtection="1">
      <alignment horizontal="center"/>
      <protection locked="0"/>
    </xf>
    <xf numFmtId="0" fontId="16" fillId="8" borderId="0" xfId="2" applyFill="1" applyAlignment="1" applyProtection="1">
      <alignment horizontal="center"/>
      <protection locked="0"/>
    </xf>
    <xf numFmtId="0" fontId="23" fillId="8" borderId="0" xfId="2" applyFont="1" applyFill="1" applyAlignment="1" applyProtection="1">
      <alignment horizontal="left" vertical="center"/>
      <protection locked="0"/>
    </xf>
    <xf numFmtId="3" fontId="23" fillId="8" borderId="0" xfId="2" applyNumberFormat="1" applyFont="1" applyFill="1" applyAlignment="1">
      <alignment horizontal="center"/>
    </xf>
    <xf numFmtId="0" fontId="24" fillId="8" borderId="0" xfId="2" applyFont="1" applyFill="1" applyAlignment="1" applyProtection="1">
      <alignment horizontal="center"/>
      <protection locked="0"/>
    </xf>
    <xf numFmtId="0" fontId="23" fillId="8" borderId="0" xfId="2" applyFont="1" applyFill="1" applyAlignment="1">
      <alignment horizontal="center"/>
    </xf>
    <xf numFmtId="164" fontId="1" fillId="0" borderId="0" xfId="0" applyFont="1" applyAlignment="1">
      <alignment horizontal="center"/>
    </xf>
    <xf numFmtId="164" fontId="40" fillId="0" borderId="1" xfId="0" applyFont="1" applyBorder="1" applyAlignment="1">
      <alignment horizontal="center"/>
    </xf>
    <xf numFmtId="164" fontId="45" fillId="0" borderId="1" xfId="0" applyFont="1" applyBorder="1" applyAlignment="1">
      <alignment horizontal="center"/>
    </xf>
    <xf numFmtId="164" fontId="2" fillId="0" borderId="0" xfId="0" applyFont="1" applyAlignment="1">
      <alignment horizontal="center"/>
    </xf>
    <xf numFmtId="164" fontId="38" fillId="0" borderId="17" xfId="0" applyFont="1" applyBorder="1" applyAlignment="1">
      <alignment horizontal="left"/>
    </xf>
    <xf numFmtId="164" fontId="40" fillId="0" borderId="0" xfId="0" applyFont="1" applyAlignment="1">
      <alignment horizontal="left" vertical="top" wrapText="1"/>
    </xf>
    <xf numFmtId="164" fontId="40" fillId="0" borderId="0" xfId="0" applyFont="1"/>
    <xf numFmtId="165" fontId="41" fillId="0" borderId="0" xfId="0" applyNumberFormat="1" applyFont="1" applyAlignment="1">
      <alignment horizontal="center"/>
    </xf>
    <xf numFmtId="164" fontId="40" fillId="0" borderId="0" xfId="0" applyFont="1" applyAlignment="1">
      <alignment horizontal="left" vertical="top" shrinkToFit="1"/>
    </xf>
    <xf numFmtId="165" fontId="40" fillId="0" borderId="0" xfId="0" applyNumberFormat="1" applyFont="1" applyAlignment="1">
      <alignment horizontal="left" shrinkToFit="1"/>
    </xf>
    <xf numFmtId="164" fontId="1" fillId="0" borderId="0" xfId="0" applyFont="1"/>
    <xf numFmtId="164" fontId="40" fillId="0" borderId="0" xfId="0" applyFont="1" applyAlignment="1">
      <alignment horizontal="justify" vertical="top" wrapText="1"/>
    </xf>
    <xf numFmtId="164" fontId="1" fillId="0" borderId="0" xfId="0" applyFont="1" applyAlignment="1">
      <alignment horizontal="left" vertical="center"/>
    </xf>
    <xf numFmtId="164" fontId="40" fillId="0" borderId="16" xfId="0" applyFont="1" applyBorder="1" applyAlignment="1">
      <alignment horizontal="left"/>
    </xf>
    <xf numFmtId="164" fontId="40" fillId="0" borderId="0" xfId="0" applyFont="1" applyAlignment="1">
      <alignment horizontal="center"/>
    </xf>
    <xf numFmtId="164" fontId="41" fillId="0" borderId="1" xfId="0" applyFont="1" applyBorder="1" applyAlignment="1">
      <alignment horizontal="left" shrinkToFit="1"/>
    </xf>
    <xf numFmtId="0" fontId="3" fillId="0" borderId="22" xfId="0" applyNumberFormat="1" applyFont="1" applyBorder="1" applyAlignment="1">
      <alignment horizontal="center" shrinkToFit="1"/>
    </xf>
    <xf numFmtId="0" fontId="3" fillId="0" borderId="23" xfId="0" applyNumberFormat="1" applyFont="1" applyBorder="1" applyAlignment="1">
      <alignment horizontal="center" shrinkToFit="1"/>
    </xf>
    <xf numFmtId="0" fontId="3" fillId="0" borderId="24" xfId="0" applyNumberFormat="1" applyFont="1" applyBorder="1" applyAlignment="1">
      <alignment horizontal="center" shrinkToFit="1"/>
    </xf>
    <xf numFmtId="164" fontId="0" fillId="0" borderId="0" xfId="0" applyAlignment="1">
      <alignment horizontal="center"/>
    </xf>
    <xf numFmtId="0" fontId="5" fillId="0" borderId="0" xfId="1" applyFont="1" applyAlignment="1">
      <alignment horizontal="center"/>
    </xf>
    <xf numFmtId="0" fontId="4" fillId="0" borderId="0" xfId="1"/>
    <xf numFmtId="0" fontId="10" fillId="0" borderId="18" xfId="1" applyFont="1" applyBorder="1" applyAlignment="1">
      <alignment horizontal="center"/>
    </xf>
    <xf numFmtId="0" fontId="10" fillId="0" borderId="19" xfId="1" applyFont="1" applyBorder="1" applyAlignment="1">
      <alignment horizontal="center"/>
    </xf>
    <xf numFmtId="0" fontId="10" fillId="0" borderId="20" xfId="1" applyFont="1" applyBorder="1" applyAlignment="1">
      <alignment horizontal="center"/>
    </xf>
    <xf numFmtId="0" fontId="11" fillId="0" borderId="5" xfId="1" applyFont="1" applyBorder="1"/>
    <xf numFmtId="0" fontId="11" fillId="0" borderId="21" xfId="1" applyFont="1" applyBorder="1"/>
    <xf numFmtId="0" fontId="38" fillId="0" borderId="0" xfId="1" applyFont="1"/>
    <xf numFmtId="0" fontId="12" fillId="0" borderId="0" xfId="1" applyFont="1" applyAlignment="1">
      <alignment horizontal="center"/>
    </xf>
  </cellXfs>
  <cellStyles count="3">
    <cellStyle name="Normal" xfId="0" builtinId="0"/>
    <cellStyle name="Normale_HEBEI PRINCESS" xfId="1" xr:uid="{A17C50B7-3EC3-4429-BA84-B51BEB479BC0}"/>
    <cellStyle name="Normale_NODA STAR DISCH. F.O." xfId="2" xr:uid="{7C455769-8B4B-42D4-8726-7E9A9E6B6837}"/>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 /><Relationship Id="rId3" Type="http://schemas.openxmlformats.org/officeDocument/2006/relationships/worksheet" Target="worksheets/sheet3.xml" /><Relationship Id="rId7"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5" Type="http://schemas.openxmlformats.org/officeDocument/2006/relationships/worksheet" Target="worksheets/sheet5.xml" /><Relationship Id="rId10" Type="http://schemas.openxmlformats.org/officeDocument/2006/relationships/calcChain" Target="calcChain.xml" /><Relationship Id="rId4" Type="http://schemas.openxmlformats.org/officeDocument/2006/relationships/worksheet" Target="worksheets/sheet4.xml" /><Relationship Id="rId9" Type="http://schemas.openxmlformats.org/officeDocument/2006/relationships/sharedStrings" Target="sharedStrings.xml" /></Relationships>
</file>

<file path=xl/drawings/_rels/drawing2.xml.rels><?xml version="1.0" encoding="UTF-8" standalone="yes"?>
<Relationships xmlns="http://schemas.openxmlformats.org/package/2006/relationships"><Relationship Id="rId2" Type="http://schemas.openxmlformats.org/officeDocument/2006/relationships/image" Target="../media/image2.png" /><Relationship Id="rId1" Type="http://schemas.openxmlformats.org/officeDocument/2006/relationships/image" Target="../media/image1.png" /></Relationships>
</file>

<file path=xl/drawings/_rels/drawing3.xml.rels><?xml version="1.0" encoding="UTF-8" standalone="yes"?>
<Relationships xmlns="http://schemas.openxmlformats.org/package/2006/relationships"><Relationship Id="rId1" Type="http://schemas.openxmlformats.org/officeDocument/2006/relationships/image" Target="../media/image2.png" /></Relationships>
</file>

<file path=xl/drawings/_rels/drawing4.xml.rels><?xml version="1.0" encoding="UTF-8" standalone="yes"?>
<Relationships xmlns="http://schemas.openxmlformats.org/package/2006/relationships"><Relationship Id="rId1" Type="http://schemas.openxmlformats.org/officeDocument/2006/relationships/image" Target="../media/image3.png" /></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 /></Relationships>
</file>

<file path=xl/drawings/drawing1.xml><?xml version="1.0" encoding="utf-8"?>
<xdr:wsDr xmlns:xdr="http://schemas.openxmlformats.org/drawingml/2006/spreadsheetDrawing" xmlns:a="http://schemas.openxmlformats.org/drawingml/2006/main">
  <xdr:twoCellAnchor>
    <xdr:from>
      <xdr:col>4</xdr:col>
      <xdr:colOff>190106</xdr:colOff>
      <xdr:row>10</xdr:row>
      <xdr:rowOff>137160</xdr:rowOff>
    </xdr:from>
    <xdr:to>
      <xdr:col>5</xdr:col>
      <xdr:colOff>869075</xdr:colOff>
      <xdr:row>10</xdr:row>
      <xdr:rowOff>137160</xdr:rowOff>
    </xdr:to>
    <xdr:cxnSp macro="">
      <xdr:nvCxnSpPr>
        <xdr:cNvPr id="5" name="Straight Arrow Connector 4">
          <a:extLst>
            <a:ext uri="{FF2B5EF4-FFF2-40B4-BE49-F238E27FC236}">
              <a16:creationId xmlns:a16="http://schemas.microsoft.com/office/drawing/2014/main" id="{D72D0699-2FEF-4FF8-A497-CD9DAF986865}"/>
            </a:ext>
          </a:extLst>
        </xdr:cNvPr>
        <xdr:cNvCxnSpPr/>
      </xdr:nvCxnSpPr>
      <xdr:spPr bwMode="auto">
        <a:xfrm>
          <a:off x="5287886" y="2346960"/>
          <a:ext cx="1288569" cy="0"/>
        </a:xfrm>
        <a:prstGeom prst="straightConnector1">
          <a:avLst/>
        </a:prstGeom>
        <a:solidFill>
          <a:srgbClr val="FFFFFF"/>
        </a:solidFill>
        <a:ln w="9525" cap="flat" cmpd="sng" algn="ctr">
          <a:solidFill>
            <a:schemeClr val="tx2"/>
          </a:solidFill>
          <a:prstDash val="solid"/>
          <a:round/>
          <a:headEnd type="none" w="med" len="med"/>
          <a:tailEnd type="triangle"/>
        </a:ln>
        <a:effectLst/>
      </xdr:spPr>
    </xdr:cxnSp>
    <xdr:clientData/>
  </xdr:twoCellAnchor>
  <xdr:twoCellAnchor>
    <xdr:from>
      <xdr:col>4</xdr:col>
      <xdr:colOff>190106</xdr:colOff>
      <xdr:row>11</xdr:row>
      <xdr:rowOff>144780</xdr:rowOff>
    </xdr:from>
    <xdr:to>
      <xdr:col>5</xdr:col>
      <xdr:colOff>869075</xdr:colOff>
      <xdr:row>11</xdr:row>
      <xdr:rowOff>144780</xdr:rowOff>
    </xdr:to>
    <xdr:cxnSp macro="">
      <xdr:nvCxnSpPr>
        <xdr:cNvPr id="6" name="Straight Arrow Connector 5">
          <a:extLst>
            <a:ext uri="{FF2B5EF4-FFF2-40B4-BE49-F238E27FC236}">
              <a16:creationId xmlns:a16="http://schemas.microsoft.com/office/drawing/2014/main" id="{98DC03AA-6DB1-4E52-9091-6F10CE93AADD}"/>
            </a:ext>
          </a:extLst>
        </xdr:cNvPr>
        <xdr:cNvCxnSpPr/>
      </xdr:nvCxnSpPr>
      <xdr:spPr bwMode="auto">
        <a:xfrm>
          <a:off x="5287886" y="2354580"/>
          <a:ext cx="1288569" cy="0"/>
        </a:xfrm>
        <a:prstGeom prst="straightConnector1">
          <a:avLst/>
        </a:prstGeom>
        <a:solidFill>
          <a:srgbClr val="FFFFFF"/>
        </a:solidFill>
        <a:ln w="9525" cap="flat" cmpd="sng" algn="ctr">
          <a:solidFill>
            <a:schemeClr val="tx2"/>
          </a:solidFill>
          <a:prstDash val="solid"/>
          <a:round/>
          <a:headEnd type="none" w="med" len="med"/>
          <a:tailEnd type="triangle"/>
        </a:ln>
        <a:effectLst/>
      </xdr:spPr>
    </xdr:cxn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167640</xdr:colOff>
      <xdr:row>0</xdr:row>
      <xdr:rowOff>0</xdr:rowOff>
    </xdr:from>
    <xdr:to>
      <xdr:col>8</xdr:col>
      <xdr:colOff>396240</xdr:colOff>
      <xdr:row>0</xdr:row>
      <xdr:rowOff>0</xdr:rowOff>
    </xdr:to>
    <xdr:pic>
      <xdr:nvPicPr>
        <xdr:cNvPr id="16402" name="Picture 2" descr="RINA">
          <a:extLst>
            <a:ext uri="{FF2B5EF4-FFF2-40B4-BE49-F238E27FC236}">
              <a16:creationId xmlns:a16="http://schemas.microsoft.com/office/drawing/2014/main" id="{E89428EF-EEA3-4DC2-3790-6B5C7642BF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40680" y="0"/>
          <a:ext cx="8763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289560</xdr:colOff>
      <xdr:row>0</xdr:row>
      <xdr:rowOff>0</xdr:rowOff>
    </xdr:from>
    <xdr:to>
      <xdr:col>10</xdr:col>
      <xdr:colOff>7620</xdr:colOff>
      <xdr:row>0</xdr:row>
      <xdr:rowOff>0</xdr:rowOff>
    </xdr:to>
    <xdr:pic>
      <xdr:nvPicPr>
        <xdr:cNvPr id="16403" name="Picture 3" descr="RINA">
          <a:extLst>
            <a:ext uri="{FF2B5EF4-FFF2-40B4-BE49-F238E27FC236}">
              <a16:creationId xmlns:a16="http://schemas.microsoft.com/office/drawing/2014/main" id="{07B40D56-C881-E119-EA73-1B037BA9E9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62600" y="0"/>
          <a:ext cx="18440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9</xdr:col>
      <xdr:colOff>927345</xdr:colOff>
      <xdr:row>5</xdr:row>
      <xdr:rowOff>137160</xdr:rowOff>
    </xdr:to>
    <xdr:pic>
      <xdr:nvPicPr>
        <xdr:cNvPr id="4" name="Picture 1">
          <a:extLst>
            <a:ext uri="{FF2B5EF4-FFF2-40B4-BE49-F238E27FC236}">
              <a16:creationId xmlns:a16="http://schemas.microsoft.com/office/drawing/2014/main" id="{F2740BF0-AB5A-8DFB-19E8-8AF0ACFEF7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9072278" cy="983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1465397</xdr:colOff>
      <xdr:row>4</xdr:row>
      <xdr:rowOff>106680</xdr:rowOff>
    </xdr:to>
    <xdr:pic>
      <xdr:nvPicPr>
        <xdr:cNvPr id="3" name="Picture 1">
          <a:extLst>
            <a:ext uri="{FF2B5EF4-FFF2-40B4-BE49-F238E27FC236}">
              <a16:creationId xmlns:a16="http://schemas.microsoft.com/office/drawing/2014/main" id="{6075512C-FB2D-4F7D-AD9B-F3F60963EA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951797" cy="746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481265</xdr:colOff>
      <xdr:row>2</xdr:row>
      <xdr:rowOff>116307</xdr:rowOff>
    </xdr:from>
    <xdr:to>
      <xdr:col>5</xdr:col>
      <xdr:colOff>112297</xdr:colOff>
      <xdr:row>12</xdr:row>
      <xdr:rowOff>52139</xdr:rowOff>
    </xdr:to>
    <xdr:pic>
      <xdr:nvPicPr>
        <xdr:cNvPr id="8" name="Picture 7">
          <a:extLst>
            <a:ext uri="{FF2B5EF4-FFF2-40B4-BE49-F238E27FC236}">
              <a16:creationId xmlns:a16="http://schemas.microsoft.com/office/drawing/2014/main" id="{01484CCC-D4CB-4571-BA5F-DAB2AA7BC9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00465" y="421107"/>
          <a:ext cx="1459832" cy="145983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 /><Relationship Id="rId2" Type="http://schemas.openxmlformats.org/officeDocument/2006/relationships/drawing" Target="../drawings/drawing2.xml" /><Relationship Id="rId1" Type="http://schemas.openxmlformats.org/officeDocument/2006/relationships/printerSettings" Target="../printerSettings/printerSettings1.bin" /><Relationship Id="rId4" Type="http://schemas.openxmlformats.org/officeDocument/2006/relationships/comments" Target="../comments1.xml" /></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 /><Relationship Id="rId1" Type="http://schemas.openxmlformats.org/officeDocument/2006/relationships/printerSettings" Target="../printerSettings/printerSettings2.bin"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 /></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 /><Relationship Id="rId1" Type="http://schemas.openxmlformats.org/officeDocument/2006/relationships/printerSettings" Target="../printerSettings/printerSettings3.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443D2-1644-41A6-A78B-9C5813F14F40}">
  <dimension ref="B2:L40"/>
  <sheetViews>
    <sheetView zoomScaleNormal="100" workbookViewId="0">
      <selection activeCell="D13" sqref="D13:E13"/>
    </sheetView>
  </sheetViews>
  <sheetFormatPr defaultRowHeight="13.5" x14ac:dyDescent="0.2"/>
  <cols>
    <col min="2" max="2" width="26.6171875" customWidth="1"/>
    <col min="3" max="3" width="29.8671875" customWidth="1"/>
    <col min="6" max="6" width="20.74609375" customWidth="1"/>
    <col min="7" max="7" width="9.87109375" bestFit="1" customWidth="1"/>
  </cols>
  <sheetData>
    <row r="2" spans="2:12" ht="13.9" customHeight="1" x14ac:dyDescent="0.2">
      <c r="B2" s="47" t="s">
        <v>64</v>
      </c>
      <c r="C2" s="179" t="s">
        <v>159</v>
      </c>
      <c r="D2" s="179"/>
      <c r="E2" s="179"/>
      <c r="J2" s="58"/>
    </row>
    <row r="3" spans="2:12" ht="13.9" customHeight="1" x14ac:dyDescent="0.2">
      <c r="B3" s="47" t="s">
        <v>99</v>
      </c>
      <c r="C3" s="183">
        <v>9324578</v>
      </c>
      <c r="D3" s="184"/>
      <c r="E3" s="185"/>
      <c r="F3" s="181" t="s">
        <v>83</v>
      </c>
      <c r="G3" s="181"/>
      <c r="H3" s="181"/>
      <c r="I3" s="181"/>
      <c r="J3" s="58"/>
    </row>
    <row r="4" spans="2:12" ht="13.9" customHeight="1" x14ac:dyDescent="0.2">
      <c r="B4" s="47" t="s">
        <v>75</v>
      </c>
      <c r="C4" s="179" t="s">
        <v>160</v>
      </c>
      <c r="D4" s="179"/>
      <c r="E4" s="179"/>
      <c r="F4" s="72" t="s">
        <v>84</v>
      </c>
      <c r="G4" s="182" t="s">
        <v>87</v>
      </c>
      <c r="H4" s="182"/>
      <c r="I4" s="182"/>
      <c r="J4" s="58"/>
    </row>
    <row r="5" spans="2:12" ht="13.9" customHeight="1" x14ac:dyDescent="0.2">
      <c r="B5" s="47" t="s">
        <v>76</v>
      </c>
      <c r="C5" s="179" t="s">
        <v>161</v>
      </c>
      <c r="D5" s="179"/>
      <c r="E5" s="179"/>
      <c r="F5" s="72" t="s">
        <v>85</v>
      </c>
      <c r="G5" s="182" t="s">
        <v>87</v>
      </c>
      <c r="H5" s="182"/>
      <c r="I5" s="182"/>
      <c r="J5" s="58"/>
    </row>
    <row r="6" spans="2:12" ht="13.9" customHeight="1" x14ac:dyDescent="0.2">
      <c r="B6" s="47" t="s">
        <v>77</v>
      </c>
      <c r="C6" s="179">
        <v>34512</v>
      </c>
      <c r="D6" s="179"/>
      <c r="E6" s="179"/>
      <c r="F6" s="72" t="s">
        <v>86</v>
      </c>
      <c r="G6" s="182" t="s">
        <v>87</v>
      </c>
      <c r="H6" s="182"/>
      <c r="I6" s="182"/>
      <c r="J6" s="58"/>
    </row>
    <row r="7" spans="2:12" ht="13.9" customHeight="1" x14ac:dyDescent="0.2">
      <c r="B7" s="47" t="s">
        <v>78</v>
      </c>
      <c r="C7" s="179">
        <v>19874</v>
      </c>
      <c r="D7" s="179"/>
      <c r="E7" s="179"/>
      <c r="F7" s="59"/>
      <c r="G7" s="59"/>
      <c r="H7" s="59"/>
      <c r="I7" s="59"/>
      <c r="J7" s="58"/>
    </row>
    <row r="8" spans="2:12" ht="13.9" customHeight="1" x14ac:dyDescent="0.2">
      <c r="B8" s="47" t="s">
        <v>67</v>
      </c>
      <c r="C8" s="179" t="s">
        <v>162</v>
      </c>
      <c r="D8" s="179"/>
      <c r="E8" s="179"/>
      <c r="F8" s="59"/>
      <c r="G8" s="59"/>
      <c r="H8" s="59"/>
      <c r="I8" s="59"/>
      <c r="J8" s="58"/>
    </row>
    <row r="9" spans="2:12" ht="13.9" customHeight="1" x14ac:dyDescent="0.2">
      <c r="B9" s="47" t="s">
        <v>59</v>
      </c>
      <c r="C9" s="179" t="s">
        <v>163</v>
      </c>
      <c r="D9" s="179"/>
      <c r="E9" s="179"/>
      <c r="F9" s="180"/>
      <c r="G9" s="180"/>
      <c r="H9" s="180"/>
      <c r="I9" s="48"/>
      <c r="J9" s="48"/>
    </row>
    <row r="10" spans="2:12" ht="13.9" customHeight="1" x14ac:dyDescent="0.2">
      <c r="B10" s="47" t="s">
        <v>79</v>
      </c>
      <c r="C10" s="179" t="s">
        <v>164</v>
      </c>
      <c r="D10" s="179"/>
      <c r="E10" s="179"/>
      <c r="F10" s="49"/>
      <c r="G10" s="47" t="s">
        <v>47</v>
      </c>
      <c r="H10" s="47" t="s">
        <v>46</v>
      </c>
      <c r="I10" s="47" t="s">
        <v>100</v>
      </c>
      <c r="J10" s="48"/>
    </row>
    <row r="11" spans="2:12" ht="13.9" customHeight="1" x14ac:dyDescent="0.2">
      <c r="B11" s="47" t="s">
        <v>63</v>
      </c>
      <c r="C11" s="77" t="s">
        <v>165</v>
      </c>
      <c r="D11" s="193">
        <v>0.41666666666666702</v>
      </c>
      <c r="E11" s="194"/>
      <c r="F11" s="53" t="s">
        <v>52</v>
      </c>
      <c r="G11" s="50">
        <v>500.12400000000002</v>
      </c>
      <c r="H11" s="50">
        <v>0</v>
      </c>
      <c r="I11" s="50">
        <v>100.254</v>
      </c>
      <c r="J11" s="51" t="s">
        <v>8</v>
      </c>
    </row>
    <row r="12" spans="2:12" ht="13.9" customHeight="1" x14ac:dyDescent="0.2">
      <c r="B12" s="47" t="s">
        <v>51</v>
      </c>
      <c r="C12" s="77" t="s">
        <v>166</v>
      </c>
      <c r="D12" s="195">
        <v>0.5</v>
      </c>
      <c r="E12" s="194"/>
      <c r="F12" s="53" t="s">
        <v>52</v>
      </c>
      <c r="G12" s="50">
        <v>450.54700000000003</v>
      </c>
      <c r="H12" s="50">
        <v>0</v>
      </c>
      <c r="I12" s="50">
        <v>100.154</v>
      </c>
      <c r="J12" s="51" t="s">
        <v>8</v>
      </c>
    </row>
    <row r="13" spans="2:12" ht="13.9" customHeight="1" x14ac:dyDescent="0.2">
      <c r="B13" s="54" t="s">
        <v>62</v>
      </c>
      <c r="C13" s="77" t="s">
        <v>166</v>
      </c>
      <c r="D13" s="196">
        <v>0.58333333333333304</v>
      </c>
      <c r="E13" s="197"/>
      <c r="F13" s="53"/>
      <c r="G13" s="51"/>
      <c r="H13" s="51"/>
      <c r="I13" s="51"/>
      <c r="J13" s="51"/>
    </row>
    <row r="14" spans="2:12" ht="13.9" customHeight="1" x14ac:dyDescent="0.2">
      <c r="B14" s="47" t="s">
        <v>61</v>
      </c>
      <c r="C14" s="179" t="s">
        <v>167</v>
      </c>
      <c r="D14" s="179"/>
      <c r="E14" s="179"/>
      <c r="F14" s="192"/>
      <c r="G14" s="192"/>
      <c r="H14" s="192"/>
      <c r="I14" s="192"/>
      <c r="J14" s="55"/>
    </row>
    <row r="15" spans="2:12" ht="13.9" customHeight="1" x14ac:dyDescent="0.2">
      <c r="B15" s="47" t="s">
        <v>55</v>
      </c>
      <c r="C15" s="179">
        <v>12.3</v>
      </c>
      <c r="D15" s="179"/>
      <c r="E15" s="179"/>
      <c r="F15" s="59"/>
      <c r="G15" s="191"/>
      <c r="H15" s="191"/>
      <c r="I15" s="191"/>
      <c r="J15" s="52"/>
    </row>
    <row r="16" spans="2:12" ht="13.9" customHeight="1" x14ac:dyDescent="0.2">
      <c r="B16" s="47" t="s">
        <v>54</v>
      </c>
      <c r="C16" s="179">
        <v>10.199999999999999</v>
      </c>
      <c r="D16" s="179"/>
      <c r="E16" s="179"/>
      <c r="F16" s="59"/>
      <c r="G16" s="191"/>
      <c r="H16" s="191"/>
      <c r="I16" s="191"/>
      <c r="J16" s="59"/>
      <c r="K16" s="59"/>
      <c r="L16" s="59"/>
    </row>
    <row r="17" spans="2:10" ht="13.9" customHeight="1" x14ac:dyDescent="0.2">
      <c r="B17" s="47" t="s">
        <v>80</v>
      </c>
      <c r="C17" s="179" t="s">
        <v>168</v>
      </c>
      <c r="D17" s="179"/>
      <c r="E17" s="179"/>
      <c r="F17" s="73"/>
      <c r="G17" s="73"/>
      <c r="H17" s="74"/>
      <c r="I17" s="75"/>
      <c r="J17" s="48"/>
    </row>
    <row r="18" spans="2:10" ht="14.25" x14ac:dyDescent="0.2">
      <c r="B18" s="47" t="s">
        <v>81</v>
      </c>
      <c r="C18" s="179" t="s">
        <v>169</v>
      </c>
      <c r="D18" s="179"/>
      <c r="E18" s="179"/>
      <c r="F18" s="51"/>
      <c r="G18" s="48"/>
      <c r="H18" s="48"/>
      <c r="I18" s="48"/>
      <c r="J18" s="48"/>
    </row>
    <row r="19" spans="2:10" ht="14.25" x14ac:dyDescent="0.2">
      <c r="B19" s="47" t="s">
        <v>82</v>
      </c>
      <c r="C19" s="179" t="s">
        <v>170</v>
      </c>
      <c r="D19" s="179"/>
      <c r="E19" s="179"/>
      <c r="F19" s="53"/>
      <c r="G19" s="51"/>
      <c r="H19" s="51"/>
      <c r="I19" s="51"/>
      <c r="J19" s="51"/>
    </row>
    <row r="20" spans="2:10" ht="14.25" x14ac:dyDescent="0.2">
      <c r="B20" s="47" t="s">
        <v>53</v>
      </c>
      <c r="C20" s="179">
        <v>0</v>
      </c>
      <c r="D20" s="179"/>
      <c r="E20" s="179"/>
      <c r="F20" s="53"/>
      <c r="G20" s="51"/>
      <c r="H20" s="51"/>
      <c r="I20" s="51"/>
      <c r="J20" s="51"/>
    </row>
    <row r="21" spans="2:10" ht="14.25" x14ac:dyDescent="0.2">
      <c r="B21" s="80" t="s">
        <v>142</v>
      </c>
      <c r="C21" s="187">
        <v>5</v>
      </c>
      <c r="D21" s="187"/>
      <c r="E21" s="187"/>
    </row>
    <row r="22" spans="2:10" ht="14.25" x14ac:dyDescent="0.2">
      <c r="B22" s="80" t="s">
        <v>134</v>
      </c>
      <c r="C22" s="187" t="s">
        <v>171</v>
      </c>
      <c r="D22" s="187"/>
      <c r="E22" s="187"/>
    </row>
    <row r="23" spans="2:10" ht="14.25" x14ac:dyDescent="0.2">
      <c r="B23" s="80" t="s">
        <v>135</v>
      </c>
      <c r="C23" s="188" t="s">
        <v>172</v>
      </c>
      <c r="D23" s="189"/>
      <c r="E23" s="190"/>
    </row>
    <row r="24" spans="2:10" ht="14.25" x14ac:dyDescent="0.2">
      <c r="B24" s="80" t="s">
        <v>136</v>
      </c>
      <c r="C24" s="188">
        <v>2015</v>
      </c>
      <c r="D24" s="189"/>
      <c r="E24" s="190"/>
    </row>
    <row r="25" spans="2:10" ht="14.25" x14ac:dyDescent="0.2">
      <c r="B25" s="80" t="s">
        <v>137</v>
      </c>
      <c r="C25" s="188" t="s">
        <v>163</v>
      </c>
      <c r="D25" s="189"/>
      <c r="E25" s="190"/>
    </row>
    <row r="26" spans="2:10" ht="14.25" x14ac:dyDescent="0.2">
      <c r="B26" s="80" t="s">
        <v>138</v>
      </c>
      <c r="C26" s="188" t="s">
        <v>173</v>
      </c>
      <c r="D26" s="189"/>
      <c r="E26" s="190"/>
    </row>
    <row r="27" spans="2:10" ht="14.25" x14ac:dyDescent="0.2">
      <c r="B27" s="80" t="s">
        <v>124</v>
      </c>
      <c r="C27" s="188">
        <v>190.9</v>
      </c>
      <c r="D27" s="189"/>
      <c r="E27" s="190"/>
    </row>
    <row r="28" spans="2:10" ht="14.25" x14ac:dyDescent="0.2">
      <c r="B28" s="80" t="s">
        <v>139</v>
      </c>
      <c r="C28" s="188">
        <v>32.26</v>
      </c>
      <c r="D28" s="189"/>
      <c r="E28" s="190"/>
    </row>
    <row r="29" spans="2:10" ht="14.25" x14ac:dyDescent="0.2">
      <c r="B29" s="80" t="s">
        <v>157</v>
      </c>
      <c r="C29" s="188">
        <v>18.2</v>
      </c>
      <c r="D29" s="189"/>
      <c r="E29" s="190"/>
    </row>
    <row r="30" spans="2:10" ht="14.25" x14ac:dyDescent="0.2">
      <c r="B30" s="80" t="s">
        <v>141</v>
      </c>
      <c r="C30" s="188">
        <v>12.2</v>
      </c>
      <c r="D30" s="189"/>
      <c r="E30" s="190"/>
    </row>
    <row r="31" spans="2:10" ht="14.25" x14ac:dyDescent="0.2">
      <c r="B31" s="80" t="s">
        <v>140</v>
      </c>
      <c r="C31" s="187">
        <v>51874</v>
      </c>
      <c r="D31" s="187"/>
      <c r="E31" s="187"/>
      <c r="F31" s="34"/>
      <c r="G31" s="34"/>
      <c r="H31" s="34"/>
      <c r="I31" s="34"/>
      <c r="J31" s="34"/>
    </row>
    <row r="32" spans="2:10" ht="14.25" x14ac:dyDescent="0.2">
      <c r="B32" s="80" t="s">
        <v>143</v>
      </c>
      <c r="C32" s="187" t="s">
        <v>174</v>
      </c>
      <c r="D32" s="187"/>
      <c r="E32" s="187"/>
      <c r="F32" s="34"/>
      <c r="G32" s="34"/>
      <c r="H32" s="34"/>
      <c r="I32" s="34"/>
      <c r="J32" s="34"/>
    </row>
    <row r="33" spans="2:10" ht="14.25" x14ac:dyDescent="0.2">
      <c r="B33" s="58"/>
      <c r="C33" s="198"/>
      <c r="D33" s="198"/>
      <c r="E33" s="198"/>
      <c r="F33" s="57"/>
      <c r="G33" s="33"/>
      <c r="H33" s="33"/>
      <c r="I33" s="34"/>
      <c r="J33" s="34"/>
    </row>
    <row r="34" spans="2:10" x14ac:dyDescent="0.2">
      <c r="D34" s="36"/>
      <c r="E34" s="33"/>
      <c r="F34" s="33"/>
      <c r="G34" s="33"/>
      <c r="H34" s="33"/>
      <c r="I34" s="34"/>
      <c r="J34" s="34"/>
    </row>
    <row r="35" spans="2:10" x14ac:dyDescent="0.2">
      <c r="B35" s="186" t="s">
        <v>98</v>
      </c>
      <c r="C35" s="186"/>
      <c r="D35" s="186"/>
      <c r="E35" s="186"/>
      <c r="F35" s="186"/>
      <c r="G35" s="186"/>
      <c r="H35" s="186"/>
      <c r="I35" s="186"/>
      <c r="J35" s="186"/>
    </row>
    <row r="36" spans="2:10" x14ac:dyDescent="0.2">
      <c r="B36" s="186"/>
      <c r="C36" s="186"/>
      <c r="D36" s="186"/>
      <c r="E36" s="186"/>
      <c r="F36" s="186"/>
      <c r="G36" s="186"/>
      <c r="H36" s="186"/>
      <c r="I36" s="186"/>
      <c r="J36" s="186"/>
    </row>
    <row r="37" spans="2:10" x14ac:dyDescent="0.2">
      <c r="B37" s="186"/>
      <c r="C37" s="186"/>
      <c r="D37" s="186"/>
      <c r="E37" s="186"/>
      <c r="F37" s="186"/>
      <c r="G37" s="186"/>
      <c r="H37" s="186"/>
      <c r="I37" s="186"/>
      <c r="J37" s="186"/>
    </row>
    <row r="38" spans="2:10" x14ac:dyDescent="0.2">
      <c r="B38" s="186"/>
      <c r="C38" s="186"/>
      <c r="D38" s="186"/>
      <c r="E38" s="186"/>
      <c r="F38" s="186"/>
      <c r="G38" s="186"/>
      <c r="H38" s="186"/>
      <c r="I38" s="186"/>
      <c r="J38" s="186"/>
    </row>
    <row r="39" spans="2:10" x14ac:dyDescent="0.2">
      <c r="B39" s="186"/>
      <c r="C39" s="186"/>
      <c r="D39" s="186"/>
      <c r="E39" s="186"/>
      <c r="F39" s="186"/>
      <c r="G39" s="186"/>
      <c r="H39" s="186"/>
      <c r="I39" s="186"/>
      <c r="J39" s="186"/>
    </row>
    <row r="40" spans="2:10" x14ac:dyDescent="0.2">
      <c r="B40" s="186"/>
      <c r="C40" s="186"/>
      <c r="D40" s="186"/>
      <c r="E40" s="186"/>
      <c r="F40" s="186"/>
      <c r="G40" s="186"/>
      <c r="H40" s="186"/>
      <c r="I40" s="186"/>
      <c r="J40" s="186"/>
    </row>
  </sheetData>
  <mergeCells count="41">
    <mergeCell ref="C33:E33"/>
    <mergeCell ref="C32:E32"/>
    <mergeCell ref="C10:E10"/>
    <mergeCell ref="C18:E18"/>
    <mergeCell ref="C19:E19"/>
    <mergeCell ref="G15:I15"/>
    <mergeCell ref="G16:I16"/>
    <mergeCell ref="C31:E31"/>
    <mergeCell ref="F14:I14"/>
    <mergeCell ref="D11:E11"/>
    <mergeCell ref="D12:E12"/>
    <mergeCell ref="D13:E13"/>
    <mergeCell ref="B35:J40"/>
    <mergeCell ref="C14:E14"/>
    <mergeCell ref="C17:E17"/>
    <mergeCell ref="C15:E15"/>
    <mergeCell ref="C16:E16"/>
    <mergeCell ref="C20:E20"/>
    <mergeCell ref="C21:E21"/>
    <mergeCell ref="C22:E22"/>
    <mergeCell ref="C23:E23"/>
    <mergeCell ref="C24:E24"/>
    <mergeCell ref="C25:E25"/>
    <mergeCell ref="C26:E26"/>
    <mergeCell ref="C27:E27"/>
    <mergeCell ref="C28:E28"/>
    <mergeCell ref="C29:E29"/>
    <mergeCell ref="C30:E30"/>
    <mergeCell ref="C2:E2"/>
    <mergeCell ref="C5:E5"/>
    <mergeCell ref="C6:E6"/>
    <mergeCell ref="C7:E7"/>
    <mergeCell ref="C8:E8"/>
    <mergeCell ref="C3:E3"/>
    <mergeCell ref="C9:E9"/>
    <mergeCell ref="F9:H9"/>
    <mergeCell ref="C4:E4"/>
    <mergeCell ref="F3:I3"/>
    <mergeCell ref="G4:I4"/>
    <mergeCell ref="G5:I5"/>
    <mergeCell ref="G6:I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BED99-1D68-450B-A770-8D2B1E774747}">
  <dimension ref="A1:AA94"/>
  <sheetViews>
    <sheetView tabSelected="1" topLeftCell="A13" zoomScale="90" zoomScaleNormal="90" workbookViewId="0">
      <selection activeCell="D36" sqref="D36"/>
    </sheetView>
  </sheetViews>
  <sheetFormatPr defaultColWidth="6.99609375" defaultRowHeight="13.5" x14ac:dyDescent="0.15"/>
  <cols>
    <col min="1" max="1" width="2.12109375" style="91" customWidth="1"/>
    <col min="2" max="2" width="23.62109375" style="91" customWidth="1"/>
    <col min="3" max="3" width="10.74609375" style="91" bestFit="1" customWidth="1"/>
    <col min="4" max="4" width="10.62109375" style="91" customWidth="1"/>
    <col min="5" max="5" width="14.74609375" style="91" customWidth="1"/>
    <col min="6" max="6" width="17.87109375" style="91" customWidth="1"/>
    <col min="7" max="7" width="11.99609375" style="91" customWidth="1"/>
    <col min="8" max="8" width="13.12109375" style="91" customWidth="1"/>
    <col min="9" max="9" width="13.74609375" style="91" customWidth="1"/>
    <col min="10" max="10" width="16.37109375" style="91" customWidth="1"/>
    <col min="11" max="11" width="6.37109375" style="91" customWidth="1"/>
    <col min="12" max="12" width="10.87109375" style="91" customWidth="1"/>
    <col min="13" max="13" width="11.62109375" style="91" customWidth="1"/>
    <col min="14" max="14" width="10.37109375" style="91" customWidth="1"/>
    <col min="15" max="15" width="11.12109375" style="91" customWidth="1"/>
    <col min="16" max="18" width="6.99609375" style="91" customWidth="1"/>
    <col min="19" max="19" width="12.37109375" style="91" customWidth="1"/>
    <col min="20" max="20" width="6.99609375" style="91" customWidth="1"/>
    <col min="21" max="21" width="10.37109375" style="91" customWidth="1"/>
    <col min="22" max="22" width="6.99609375" style="91"/>
    <col min="23" max="23" width="8.12109375" style="91" customWidth="1"/>
    <col min="24" max="16384" width="6.99609375" style="91"/>
  </cols>
  <sheetData>
    <row r="1" spans="1:27" x14ac:dyDescent="0.15">
      <c r="A1" s="90"/>
      <c r="B1" s="221"/>
      <c r="C1" s="221"/>
      <c r="D1" s="221"/>
      <c r="E1" s="221"/>
      <c r="F1" s="221"/>
      <c r="G1" s="221"/>
      <c r="H1" s="221"/>
      <c r="I1" s="221"/>
      <c r="J1" s="221"/>
    </row>
    <row r="2" spans="1:27" x14ac:dyDescent="0.15">
      <c r="A2" s="90"/>
      <c r="B2" s="221"/>
      <c r="C2" s="221"/>
      <c r="D2" s="221"/>
      <c r="E2" s="221"/>
      <c r="F2" s="221"/>
      <c r="G2" s="221"/>
      <c r="H2" s="221"/>
      <c r="I2" s="221"/>
      <c r="J2" s="221"/>
    </row>
    <row r="3" spans="1:27" x14ac:dyDescent="0.15">
      <c r="A3" s="90"/>
      <c r="B3" s="221"/>
      <c r="C3" s="221"/>
      <c r="D3" s="221"/>
      <c r="E3" s="221"/>
      <c r="F3" s="221"/>
      <c r="G3" s="221"/>
      <c r="H3" s="221"/>
      <c r="I3" s="221"/>
      <c r="J3" s="221"/>
    </row>
    <row r="4" spans="1:27" x14ac:dyDescent="0.15">
      <c r="A4" s="90"/>
      <c r="B4" s="221"/>
      <c r="C4" s="221"/>
      <c r="D4" s="221"/>
      <c r="E4" s="221"/>
      <c r="F4" s="221"/>
      <c r="G4" s="221"/>
      <c r="H4" s="221"/>
      <c r="I4" s="221"/>
      <c r="J4" s="221"/>
    </row>
    <row r="5" spans="1:27" x14ac:dyDescent="0.15">
      <c r="A5" s="90"/>
      <c r="B5" s="90"/>
      <c r="C5" s="90"/>
      <c r="D5" s="90"/>
      <c r="E5" s="90"/>
      <c r="F5" s="90"/>
      <c r="G5" s="90"/>
      <c r="H5" s="90"/>
      <c r="I5" s="90"/>
      <c r="J5" s="90"/>
    </row>
    <row r="6" spans="1:27" ht="16.5" customHeight="1" x14ac:dyDescent="0.2">
      <c r="A6" s="223" t="str">
        <f>'SHIP DETAILS'!C2</f>
        <v>MV. RISHABH</v>
      </c>
      <c r="B6" s="223"/>
      <c r="C6" s="223"/>
      <c r="D6" s="223"/>
      <c r="E6" s="223"/>
      <c r="F6" s="223"/>
      <c r="G6" s="223"/>
      <c r="H6" s="223"/>
      <c r="I6" s="223"/>
      <c r="J6" s="223"/>
    </row>
    <row r="7" spans="1:27" ht="16.5" customHeight="1" x14ac:dyDescent="0.2">
      <c r="A7" s="225" t="str">
        <f>CONCATENATE("IMO No. ",'SHIP DETAILS'!C3,"")</f>
        <v>IMO No. 9324578</v>
      </c>
      <c r="B7" s="225"/>
      <c r="C7" s="225"/>
      <c r="D7" s="225"/>
      <c r="E7" s="225"/>
      <c r="F7" s="225"/>
      <c r="G7" s="225"/>
      <c r="H7" s="225"/>
      <c r="I7" s="225"/>
      <c r="J7" s="225"/>
    </row>
    <row r="8" spans="1:27" ht="16.7" customHeight="1" x14ac:dyDescent="0.2">
      <c r="A8" s="224" t="s">
        <v>71</v>
      </c>
      <c r="B8" s="224"/>
      <c r="C8" s="224"/>
      <c r="D8" s="224"/>
      <c r="E8" s="224"/>
      <c r="F8" s="224"/>
      <c r="G8" s="224"/>
      <c r="H8" s="224"/>
      <c r="I8" s="224"/>
      <c r="J8" s="224"/>
    </row>
    <row r="9" spans="1:27" ht="16.7" customHeight="1" x14ac:dyDescent="0.2">
      <c r="A9" s="93"/>
      <c r="B9" s="94"/>
      <c r="C9" s="94"/>
      <c r="D9" s="92"/>
      <c r="E9" s="92"/>
      <c r="F9" s="92"/>
      <c r="G9" s="92"/>
      <c r="H9" s="95"/>
      <c r="I9" s="94"/>
      <c r="J9" s="94"/>
    </row>
    <row r="10" spans="1:27" ht="16.7" customHeight="1" x14ac:dyDescent="0.15">
      <c r="A10" s="93"/>
      <c r="B10" s="96" t="s">
        <v>59</v>
      </c>
      <c r="C10" s="179" t="str">
        <f>'SHIP DETAILS'!C9</f>
        <v>PRAYAN SHIPPING INC</v>
      </c>
      <c r="D10" s="179"/>
      <c r="E10" s="179"/>
      <c r="F10" s="220"/>
      <c r="G10" s="220"/>
      <c r="H10" s="220"/>
      <c r="I10" s="97"/>
      <c r="J10" s="97"/>
      <c r="M10" s="98"/>
      <c r="N10" s="99"/>
      <c r="V10" s="98"/>
      <c r="W10" s="99"/>
      <c r="AA10" s="100"/>
    </row>
    <row r="11" spans="1:27" ht="16.7" customHeight="1" x14ac:dyDescent="0.15">
      <c r="A11" s="93"/>
      <c r="B11" s="96" t="s">
        <v>60</v>
      </c>
      <c r="C11" s="179" t="str">
        <f>'SHIP DETAILS'!C10</f>
        <v>DAVA PTE. LTD</v>
      </c>
      <c r="D11" s="179"/>
      <c r="E11" s="179"/>
      <c r="F11" s="101"/>
      <c r="G11" s="96" t="s">
        <v>47</v>
      </c>
      <c r="H11" s="96" t="s">
        <v>46</v>
      </c>
      <c r="I11" s="96" t="s">
        <v>100</v>
      </c>
      <c r="J11" s="97"/>
      <c r="M11" s="98"/>
      <c r="N11" s="98"/>
      <c r="V11" s="98"/>
      <c r="W11" s="98"/>
      <c r="AA11" s="100"/>
    </row>
    <row r="12" spans="1:27" ht="16.7" customHeight="1" x14ac:dyDescent="0.15">
      <c r="A12" s="93"/>
      <c r="B12" s="96" t="s">
        <v>63</v>
      </c>
      <c r="C12" s="183" t="str">
        <f>'SHIP DETAILS'!C11</f>
        <v>25th JANUARY 2026</v>
      </c>
      <c r="D12" s="185"/>
      <c r="E12" s="170">
        <f>'SHIP DETAILS'!D11</f>
        <v>0.41666666666666702</v>
      </c>
      <c r="F12" s="102" t="s">
        <v>133</v>
      </c>
      <c r="G12" s="50">
        <f>'SHIP DETAILS'!G11</f>
        <v>500.12400000000002</v>
      </c>
      <c r="H12" s="50">
        <f>'SHIP DETAILS'!H11</f>
        <v>0</v>
      </c>
      <c r="I12" s="50">
        <f>'SHIP DETAILS'!I11</f>
        <v>100.254</v>
      </c>
      <c r="J12" s="103" t="s">
        <v>8</v>
      </c>
      <c r="L12" s="91" t="s">
        <v>64</v>
      </c>
      <c r="M12" s="214" t="str">
        <f>A6</f>
        <v>MV. RISHABH</v>
      </c>
      <c r="N12" s="215"/>
      <c r="O12" s="216"/>
      <c r="V12" s="98"/>
      <c r="W12" s="98"/>
      <c r="AA12" s="100"/>
    </row>
    <row r="13" spans="1:27" ht="16.7" customHeight="1" x14ac:dyDescent="0.15">
      <c r="A13" s="93"/>
      <c r="B13" s="96" t="s">
        <v>51</v>
      </c>
      <c r="C13" s="179" t="str">
        <f>'SHIP DETAILS'!C12</f>
        <v>28th JANUARY 2026</v>
      </c>
      <c r="D13" s="179"/>
      <c r="E13" s="170">
        <f>'SHIP DETAILS'!D12</f>
        <v>0.5</v>
      </c>
      <c r="F13" s="102" t="s">
        <v>133</v>
      </c>
      <c r="G13" s="50">
        <f>'SHIP DETAILS'!G12</f>
        <v>450.54700000000003</v>
      </c>
      <c r="H13" s="50">
        <f>'SHIP DETAILS'!H12</f>
        <v>0</v>
      </c>
      <c r="I13" s="50">
        <f>'SHIP DETAILS'!I12</f>
        <v>100.154</v>
      </c>
      <c r="J13" s="103" t="s">
        <v>8</v>
      </c>
      <c r="K13" s="104"/>
      <c r="L13" s="91" t="s">
        <v>65</v>
      </c>
      <c r="M13" s="217" t="str">
        <f>C11</f>
        <v>DAVA PTE. LTD</v>
      </c>
      <c r="N13" s="215"/>
      <c r="O13" s="216"/>
      <c r="V13" s="98"/>
      <c r="W13" s="99"/>
    </row>
    <row r="14" spans="1:27" ht="16.7" customHeight="1" x14ac:dyDescent="0.15">
      <c r="A14" s="93"/>
      <c r="B14" s="105" t="s">
        <v>62</v>
      </c>
      <c r="C14" s="219" t="str">
        <f>'SHIP DETAILS'!C13</f>
        <v>28th JANUARY 2026</v>
      </c>
      <c r="D14" s="219"/>
      <c r="E14" s="171">
        <f>'SHIP DETAILS'!D13</f>
        <v>0.58333333333333304</v>
      </c>
      <c r="F14" s="97" t="s">
        <v>192</v>
      </c>
      <c r="G14" s="103"/>
      <c r="H14" s="103"/>
      <c r="I14" s="103"/>
      <c r="J14" s="103"/>
      <c r="M14" s="201" t="s">
        <v>9</v>
      </c>
      <c r="N14" s="202"/>
      <c r="O14" s="203"/>
    </row>
    <row r="15" spans="1:27" ht="16.7" customHeight="1" x14ac:dyDescent="0.15">
      <c r="A15" s="93"/>
      <c r="B15" s="96" t="s">
        <v>61</v>
      </c>
      <c r="C15" s="179" t="str">
        <f>'SHIP DETAILS'!C14</f>
        <v>B#6, GANGAVARAM PORT, INDIA</v>
      </c>
      <c r="D15" s="179"/>
      <c r="E15" s="179"/>
      <c r="F15" s="106"/>
      <c r="G15" s="107"/>
      <c r="H15" s="107"/>
      <c r="I15" s="107"/>
      <c r="J15" s="107"/>
      <c r="M15" s="205" t="s">
        <v>11</v>
      </c>
      <c r="N15" s="206"/>
      <c r="O15" s="207"/>
    </row>
    <row r="16" spans="1:27" ht="16.7" customHeight="1" x14ac:dyDescent="0.15">
      <c r="A16" s="93"/>
      <c r="B16" s="96" t="s">
        <v>67</v>
      </c>
      <c r="C16" s="179" t="str">
        <f>'SHIP DETAILS'!C8</f>
        <v>15 L</v>
      </c>
      <c r="D16" s="179"/>
      <c r="E16" s="179"/>
      <c r="F16" s="102"/>
      <c r="G16" s="103"/>
      <c r="H16" s="103"/>
      <c r="I16" s="103"/>
      <c r="J16" s="103"/>
      <c r="M16" s="108"/>
      <c r="N16" s="109"/>
      <c r="O16" s="110"/>
    </row>
    <row r="17" spans="1:24" ht="16.7" customHeight="1" x14ac:dyDescent="0.15">
      <c r="A17" s="93"/>
      <c r="B17" s="96" t="s">
        <v>55</v>
      </c>
      <c r="C17" s="47">
        <f>'SHIP DETAILS'!C15</f>
        <v>12.3</v>
      </c>
      <c r="D17" s="96" t="s">
        <v>68</v>
      </c>
      <c r="E17" s="111"/>
      <c r="F17" s="112"/>
      <c r="G17" s="111"/>
      <c r="H17" s="113" t="s">
        <v>15</v>
      </c>
      <c r="I17" s="172">
        <f>C17-C18</f>
        <v>2.1</v>
      </c>
      <c r="J17" s="111" t="s">
        <v>68</v>
      </c>
      <c r="M17" s="114" t="str">
        <f>G11</f>
        <v>VLSFO</v>
      </c>
      <c r="N17" s="114" t="str">
        <f>H11</f>
        <v>HSFO</v>
      </c>
      <c r="O17" s="114" t="str">
        <f>I11</f>
        <v>LSMGO</v>
      </c>
    </row>
    <row r="18" spans="1:24" ht="16.7" customHeight="1" x14ac:dyDescent="0.15">
      <c r="A18" s="93"/>
      <c r="B18" s="96" t="s">
        <v>54</v>
      </c>
      <c r="C18" s="47">
        <f>'SHIP DETAILS'!C16</f>
        <v>10.199999999999999</v>
      </c>
      <c r="D18" s="96" t="s">
        <v>68</v>
      </c>
      <c r="E18" s="97"/>
      <c r="F18" s="97"/>
      <c r="G18" s="97"/>
      <c r="H18" s="113" t="s">
        <v>53</v>
      </c>
      <c r="I18" s="172">
        <f>'SHIP DETAILS'!C20</f>
        <v>0</v>
      </c>
      <c r="J18" s="97" t="s">
        <v>56</v>
      </c>
      <c r="L18" s="91" t="s">
        <v>36</v>
      </c>
      <c r="M18" s="173">
        <f>J40</f>
        <v>466.29599999999999</v>
      </c>
      <c r="N18" s="173">
        <f ca="1">J50</f>
        <v>0</v>
      </c>
      <c r="O18" s="173">
        <f>J63</f>
        <v>101.592</v>
      </c>
      <c r="P18" s="115" t="s">
        <v>13</v>
      </c>
      <c r="Q18" s="116"/>
      <c r="R18" s="116"/>
    </row>
    <row r="19" spans="1:24" ht="16.7" customHeight="1" x14ac:dyDescent="0.15">
      <c r="A19" s="93"/>
      <c r="B19" s="117"/>
      <c r="C19" s="118"/>
      <c r="D19" s="117"/>
      <c r="E19" s="117"/>
      <c r="F19" s="117"/>
      <c r="G19" s="117"/>
      <c r="H19" s="119"/>
      <c r="I19" s="120"/>
      <c r="J19" s="118"/>
      <c r="L19" s="91" t="s">
        <v>37</v>
      </c>
      <c r="M19" s="173">
        <f>G13</f>
        <v>450.54700000000003</v>
      </c>
      <c r="N19" s="173">
        <f>H13</f>
        <v>0</v>
      </c>
      <c r="O19" s="173">
        <f>I13</f>
        <v>100.154</v>
      </c>
      <c r="P19" s="121" t="s">
        <v>12</v>
      </c>
      <c r="Q19" s="116"/>
      <c r="R19" s="116"/>
    </row>
    <row r="20" spans="1:24" ht="19.5" customHeight="1" x14ac:dyDescent="0.15">
      <c r="A20" s="93"/>
      <c r="B20" s="222" t="s">
        <v>72</v>
      </c>
      <c r="C20" s="222"/>
      <c r="D20" s="222"/>
      <c r="E20" s="222"/>
      <c r="F20" s="222"/>
      <c r="G20" s="222"/>
      <c r="H20" s="122"/>
      <c r="I20" s="123"/>
      <c r="J20" s="123"/>
      <c r="L20" s="91" t="s">
        <v>38</v>
      </c>
      <c r="M20" s="174">
        <f>M18-M19</f>
        <v>15.749000000000001</v>
      </c>
      <c r="N20" s="174">
        <f ca="1">N18-N19</f>
        <v>0</v>
      </c>
      <c r="O20" s="174">
        <f>O18-O19</f>
        <v>1.4379999999999999</v>
      </c>
      <c r="Q20" s="116"/>
      <c r="R20" s="116"/>
    </row>
    <row r="21" spans="1:24" ht="17.45" customHeight="1" x14ac:dyDescent="0.2">
      <c r="A21" s="93"/>
      <c r="B21" s="124" t="s">
        <v>16</v>
      </c>
      <c r="C21" s="124" t="s">
        <v>44</v>
      </c>
      <c r="D21" s="124" t="s">
        <v>42</v>
      </c>
      <c r="E21" s="124" t="s">
        <v>17</v>
      </c>
      <c r="F21" s="124" t="s">
        <v>14</v>
      </c>
      <c r="G21" s="124" t="s">
        <v>18</v>
      </c>
      <c r="H21" s="124" t="s">
        <v>19</v>
      </c>
      <c r="I21" s="124" t="s">
        <v>20</v>
      </c>
      <c r="J21" s="125" t="s">
        <v>28</v>
      </c>
      <c r="M21" s="218" t="s">
        <v>10</v>
      </c>
      <c r="N21" s="218"/>
      <c r="O21" s="175">
        <f ca="1">SUM(M20:O20)</f>
        <v>63.423000000000002</v>
      </c>
      <c r="U21" s="91">
        <v>186.96960000000001</v>
      </c>
    </row>
    <row r="22" spans="1:24" ht="14.1" customHeight="1" x14ac:dyDescent="0.15">
      <c r="A22" s="93"/>
      <c r="B22" s="126" t="s">
        <v>66</v>
      </c>
      <c r="C22" s="126" t="s">
        <v>45</v>
      </c>
      <c r="D22" s="127" t="s">
        <v>21</v>
      </c>
      <c r="E22" s="126" t="s">
        <v>22</v>
      </c>
      <c r="F22" s="127" t="s">
        <v>23</v>
      </c>
      <c r="G22" s="126" t="s">
        <v>24</v>
      </c>
      <c r="H22" s="126" t="s">
        <v>25</v>
      </c>
      <c r="I22" s="126" t="s">
        <v>26</v>
      </c>
      <c r="J22" s="128" t="s">
        <v>29</v>
      </c>
      <c r="U22" s="91">
        <v>0.48620000000000002</v>
      </c>
    </row>
    <row r="23" spans="1:24" ht="13.5" customHeight="1" x14ac:dyDescent="0.15">
      <c r="A23" s="93"/>
      <c r="B23" s="129" t="s">
        <v>175</v>
      </c>
      <c r="C23" s="130">
        <v>18</v>
      </c>
      <c r="D23" s="131">
        <v>1</v>
      </c>
      <c r="E23" s="130">
        <v>100</v>
      </c>
      <c r="F23" s="132">
        <v>0.93240000000000001</v>
      </c>
      <c r="G23" s="133">
        <v>27</v>
      </c>
      <c r="H23" s="132">
        <f t="shared" ref="H23:H29" si="0">IF(G23="","",ROUND(EXP(-U23*(G23-15)*(1+0.8*U23*(G23-15))),4))</f>
        <v>0.99109999999999998</v>
      </c>
      <c r="I23" s="130">
        <f t="shared" ref="I23:I29" si="1">IF(G23="","",ROUND(E23*H23,3))</f>
        <v>99.11</v>
      </c>
      <c r="J23" s="130">
        <f t="shared" ref="J23:J29" si="2">X23</f>
        <v>92.301000000000002</v>
      </c>
      <c r="T23" s="91">
        <f t="shared" ref="T23:T29" si="3">ROUND(+F23/2*1000,0)*2</f>
        <v>932</v>
      </c>
      <c r="U23" s="134">
        <f t="shared" ref="U23:U29" si="4">ROUND($U$21/(T23*T23)+($U$22/T23),8)</f>
        <v>7.3691999999999996E-4</v>
      </c>
      <c r="W23" s="100">
        <f t="shared" ref="W23:W29" si="5">+F23-0.0011</f>
        <v>0.93130000000000002</v>
      </c>
      <c r="X23" s="91">
        <f t="shared" ref="X23:X29" si="6">IF(G23="","",ROUND((I23*W23),3))</f>
        <v>92.301000000000002</v>
      </c>
    </row>
    <row r="24" spans="1:24" ht="13.5" customHeight="1" x14ac:dyDescent="0.15">
      <c r="A24" s="93"/>
      <c r="B24" s="129" t="s">
        <v>176</v>
      </c>
      <c r="C24" s="135">
        <v>18</v>
      </c>
      <c r="D24" s="136">
        <v>1</v>
      </c>
      <c r="E24" s="135">
        <v>100</v>
      </c>
      <c r="F24" s="132">
        <v>0.93240000000000001</v>
      </c>
      <c r="G24" s="133">
        <v>27</v>
      </c>
      <c r="H24" s="137">
        <f t="shared" si="0"/>
        <v>0.99109999999999998</v>
      </c>
      <c r="I24" s="135">
        <f t="shared" si="1"/>
        <v>99.11</v>
      </c>
      <c r="J24" s="135">
        <f t="shared" si="2"/>
        <v>92.301000000000002</v>
      </c>
      <c r="T24" s="91">
        <f t="shared" si="3"/>
        <v>932</v>
      </c>
      <c r="U24" s="134">
        <f t="shared" si="4"/>
        <v>7.3691999999999996E-4</v>
      </c>
      <c r="W24" s="100">
        <f t="shared" si="5"/>
        <v>0.93130000000000002</v>
      </c>
      <c r="X24" s="91">
        <f t="shared" si="6"/>
        <v>92.301000000000002</v>
      </c>
    </row>
    <row r="25" spans="1:24" ht="13.5" customHeight="1" x14ac:dyDescent="0.15">
      <c r="A25" s="93"/>
      <c r="B25" s="129" t="s">
        <v>177</v>
      </c>
      <c r="C25" s="135">
        <v>18</v>
      </c>
      <c r="D25" s="136">
        <v>1</v>
      </c>
      <c r="E25" s="135">
        <v>100</v>
      </c>
      <c r="F25" s="132">
        <v>0.93240000000000001</v>
      </c>
      <c r="G25" s="133">
        <v>27</v>
      </c>
      <c r="H25" s="137">
        <f t="shared" si="0"/>
        <v>0.99109999999999998</v>
      </c>
      <c r="I25" s="135">
        <f t="shared" si="1"/>
        <v>99.11</v>
      </c>
      <c r="J25" s="135">
        <f t="shared" si="2"/>
        <v>92.301000000000002</v>
      </c>
      <c r="T25" s="91">
        <f t="shared" si="3"/>
        <v>932</v>
      </c>
      <c r="U25" s="134">
        <f t="shared" si="4"/>
        <v>7.3691999999999996E-4</v>
      </c>
      <c r="W25" s="100">
        <f t="shared" si="5"/>
        <v>0.93130000000000002</v>
      </c>
      <c r="X25" s="91">
        <f t="shared" si="6"/>
        <v>92.301000000000002</v>
      </c>
    </row>
    <row r="26" spans="1:24" ht="13.5" customHeight="1" x14ac:dyDescent="0.15">
      <c r="A26" s="93"/>
      <c r="B26" s="129" t="s">
        <v>178</v>
      </c>
      <c r="C26" s="135">
        <v>18</v>
      </c>
      <c r="D26" s="136">
        <v>1</v>
      </c>
      <c r="E26" s="135">
        <v>100</v>
      </c>
      <c r="F26" s="132">
        <v>0.93240000000000001</v>
      </c>
      <c r="G26" s="133">
        <v>27</v>
      </c>
      <c r="H26" s="137">
        <f t="shared" si="0"/>
        <v>0.99109999999999998</v>
      </c>
      <c r="I26" s="135">
        <f t="shared" si="1"/>
        <v>99.11</v>
      </c>
      <c r="J26" s="135">
        <f t="shared" si="2"/>
        <v>92.301000000000002</v>
      </c>
      <c r="T26" s="91">
        <f t="shared" si="3"/>
        <v>932</v>
      </c>
      <c r="U26" s="134">
        <f t="shared" si="4"/>
        <v>7.3691999999999996E-4</v>
      </c>
      <c r="W26" s="100">
        <f t="shared" si="5"/>
        <v>0.93130000000000002</v>
      </c>
      <c r="X26" s="91">
        <f t="shared" si="6"/>
        <v>92.301000000000002</v>
      </c>
    </row>
    <row r="27" spans="1:24" ht="13.5" customHeight="1" x14ac:dyDescent="0.15">
      <c r="A27" s="93"/>
      <c r="B27" s="129" t="s">
        <v>179</v>
      </c>
      <c r="C27" s="135">
        <v>18</v>
      </c>
      <c r="D27" s="136">
        <v>1</v>
      </c>
      <c r="E27" s="135">
        <v>12</v>
      </c>
      <c r="F27" s="132">
        <v>0.93240000000000001</v>
      </c>
      <c r="G27" s="133">
        <v>27</v>
      </c>
      <c r="H27" s="137">
        <f t="shared" si="0"/>
        <v>0.99109999999999998</v>
      </c>
      <c r="I27" s="135">
        <f t="shared" si="1"/>
        <v>11.893000000000001</v>
      </c>
      <c r="J27" s="135">
        <f t="shared" si="2"/>
        <v>11.076000000000001</v>
      </c>
      <c r="T27" s="91">
        <f t="shared" si="3"/>
        <v>932</v>
      </c>
      <c r="U27" s="134">
        <f t="shared" si="4"/>
        <v>7.3691999999999996E-4</v>
      </c>
      <c r="W27" s="100">
        <f t="shared" si="5"/>
        <v>0.93130000000000002</v>
      </c>
      <c r="X27" s="91">
        <f t="shared" si="6"/>
        <v>11.076000000000001</v>
      </c>
    </row>
    <row r="28" spans="1:24" ht="13.5" customHeight="1" x14ac:dyDescent="0.15">
      <c r="A28" s="93"/>
      <c r="B28" s="129" t="s">
        <v>180</v>
      </c>
      <c r="C28" s="135">
        <v>8</v>
      </c>
      <c r="D28" s="136">
        <v>1</v>
      </c>
      <c r="E28" s="135">
        <v>12</v>
      </c>
      <c r="F28" s="132">
        <v>0.93240000000000001</v>
      </c>
      <c r="G28" s="133">
        <v>27</v>
      </c>
      <c r="H28" s="137">
        <f t="shared" si="0"/>
        <v>0.99109999999999998</v>
      </c>
      <c r="I28" s="135">
        <f t="shared" si="1"/>
        <v>11.893000000000001</v>
      </c>
      <c r="J28" s="135">
        <f t="shared" si="2"/>
        <v>11.076000000000001</v>
      </c>
      <c r="T28" s="91">
        <f t="shared" si="3"/>
        <v>932</v>
      </c>
      <c r="U28" s="134">
        <f>ROUND($U$21/(T28*T28)+($U$22/T28),8)</f>
        <v>7.3691999999999996E-4</v>
      </c>
      <c r="W28" s="100">
        <f t="shared" si="5"/>
        <v>0.93130000000000002</v>
      </c>
      <c r="X28" s="91">
        <f t="shared" si="6"/>
        <v>11.076000000000001</v>
      </c>
    </row>
    <row r="29" spans="1:24" ht="13.5" customHeight="1" x14ac:dyDescent="0.15">
      <c r="A29" s="93"/>
      <c r="B29" s="138" t="s">
        <v>181</v>
      </c>
      <c r="C29" s="139" t="s">
        <v>186</v>
      </c>
      <c r="D29" s="139" t="s">
        <v>186</v>
      </c>
      <c r="E29" s="135">
        <v>20</v>
      </c>
      <c r="F29" s="132">
        <v>0.93240000000000001</v>
      </c>
      <c r="G29" s="133">
        <v>90</v>
      </c>
      <c r="H29" s="137">
        <f t="shared" si="0"/>
        <v>0.94389999999999996</v>
      </c>
      <c r="I29" s="135">
        <f t="shared" si="1"/>
        <v>18.878</v>
      </c>
      <c r="J29" s="135">
        <f t="shared" si="2"/>
        <v>17.581</v>
      </c>
      <c r="T29" s="91">
        <f t="shared" si="3"/>
        <v>932</v>
      </c>
      <c r="U29" s="134">
        <f t="shared" si="4"/>
        <v>7.3691999999999996E-4</v>
      </c>
      <c r="W29" s="100">
        <f t="shared" si="5"/>
        <v>0.93130000000000002</v>
      </c>
      <c r="X29" s="91">
        <f t="shared" si="6"/>
        <v>17.581</v>
      </c>
    </row>
    <row r="30" spans="1:24" ht="13.5" customHeight="1" x14ac:dyDescent="0.15">
      <c r="A30" s="93"/>
      <c r="B30" s="138" t="s">
        <v>182</v>
      </c>
      <c r="C30" s="139" t="s">
        <v>186</v>
      </c>
      <c r="D30" s="139" t="s">
        <v>186</v>
      </c>
      <c r="E30" s="135">
        <v>20</v>
      </c>
      <c r="F30" s="132">
        <v>0.93240000000000001</v>
      </c>
      <c r="G30" s="133">
        <v>90</v>
      </c>
      <c r="H30" s="137">
        <f t="shared" ref="H30:H36" si="7">IF(G30="","",ROUND(EXP(-U30*(G30-15)*(1+0.8*U30*(G30-15))),4))</f>
        <v>0.94389999999999996</v>
      </c>
      <c r="I30" s="135">
        <f t="shared" ref="I30:I36" si="8">IF(G30="","",ROUND(E30*H30,3))</f>
        <v>18.878</v>
      </c>
      <c r="J30" s="135">
        <f t="shared" ref="J30:J36" si="9">X30</f>
        <v>17.581</v>
      </c>
      <c r="T30" s="91">
        <f t="shared" ref="T30:T36" si="10">ROUND(+F30/2*1000,0)*2</f>
        <v>932</v>
      </c>
      <c r="U30" s="134">
        <f t="shared" ref="U30:U36" si="11">ROUND($U$21/(T30*T30)+($U$22/T30),8)</f>
        <v>7.3691999999999996E-4</v>
      </c>
      <c r="W30" s="100">
        <f t="shared" ref="W30:W36" si="12">+F30-0.0011</f>
        <v>0.93130000000000002</v>
      </c>
      <c r="X30" s="91">
        <f t="shared" ref="X30:X36" si="13">IF(G30="","",ROUND((I30*W30),3))</f>
        <v>17.581</v>
      </c>
    </row>
    <row r="31" spans="1:24" ht="13.5" customHeight="1" x14ac:dyDescent="0.15">
      <c r="A31" s="93"/>
      <c r="B31" s="138" t="s">
        <v>183</v>
      </c>
      <c r="C31" s="139" t="s">
        <v>186</v>
      </c>
      <c r="D31" s="139" t="s">
        <v>186</v>
      </c>
      <c r="E31" s="135">
        <v>20</v>
      </c>
      <c r="F31" s="132">
        <v>0.93240000000000001</v>
      </c>
      <c r="G31" s="133">
        <v>90</v>
      </c>
      <c r="H31" s="137">
        <f t="shared" si="7"/>
        <v>0.94389999999999996</v>
      </c>
      <c r="I31" s="135">
        <f t="shared" si="8"/>
        <v>18.878</v>
      </c>
      <c r="J31" s="135">
        <f t="shared" si="9"/>
        <v>17.581</v>
      </c>
      <c r="T31" s="91">
        <f t="shared" si="10"/>
        <v>932</v>
      </c>
      <c r="U31" s="134">
        <f t="shared" si="11"/>
        <v>7.3691999999999996E-4</v>
      </c>
      <c r="W31" s="100">
        <f t="shared" si="12"/>
        <v>0.93130000000000002</v>
      </c>
      <c r="X31" s="91">
        <f t="shared" si="13"/>
        <v>17.581</v>
      </c>
    </row>
    <row r="32" spans="1:24" ht="13.5" customHeight="1" x14ac:dyDescent="0.15">
      <c r="A32" s="93"/>
      <c r="B32" s="138" t="s">
        <v>184</v>
      </c>
      <c r="C32" s="139" t="s">
        <v>186</v>
      </c>
      <c r="D32" s="139" t="s">
        <v>186</v>
      </c>
      <c r="E32" s="135">
        <v>20</v>
      </c>
      <c r="F32" s="132">
        <v>0.93240000000000001</v>
      </c>
      <c r="G32" s="133">
        <v>90</v>
      </c>
      <c r="H32" s="137">
        <f t="shared" si="7"/>
        <v>0.94389999999999996</v>
      </c>
      <c r="I32" s="135">
        <f t="shared" si="8"/>
        <v>18.878</v>
      </c>
      <c r="J32" s="135">
        <f t="shared" si="9"/>
        <v>17.581</v>
      </c>
      <c r="T32" s="91">
        <f t="shared" si="10"/>
        <v>932</v>
      </c>
      <c r="U32" s="134">
        <f t="shared" si="11"/>
        <v>7.3691999999999996E-4</v>
      </c>
      <c r="W32" s="100">
        <f t="shared" si="12"/>
        <v>0.93130000000000002</v>
      </c>
      <c r="X32" s="91">
        <f t="shared" si="13"/>
        <v>17.581</v>
      </c>
    </row>
    <row r="33" spans="1:24" ht="13.5" customHeight="1" x14ac:dyDescent="0.15">
      <c r="A33" s="93"/>
      <c r="B33" s="138" t="s">
        <v>185</v>
      </c>
      <c r="C33" s="139">
        <v>4.87</v>
      </c>
      <c r="D33" s="139" t="s">
        <v>187</v>
      </c>
      <c r="E33" s="135">
        <v>5</v>
      </c>
      <c r="F33" s="132">
        <v>0.93240000000000001</v>
      </c>
      <c r="G33" s="133">
        <v>27</v>
      </c>
      <c r="H33" s="137">
        <f t="shared" ref="H33:H35" si="14">IF(G33="","",ROUND(EXP(-U33*(G33-15)*(1+0.8*U33*(G33-15))),4))</f>
        <v>0.99109999999999998</v>
      </c>
      <c r="I33" s="135">
        <f t="shared" ref="I33:I35" si="15">IF(G33="","",ROUND(E33*H33,3))</f>
        <v>4.9560000000000004</v>
      </c>
      <c r="J33" s="135">
        <f t="shared" ref="J33:J35" si="16">X33</f>
        <v>4.6159999999999997</v>
      </c>
      <c r="T33" s="91">
        <f t="shared" ref="T33:T35" si="17">ROUND(+F33/2*1000,0)*2</f>
        <v>932</v>
      </c>
      <c r="U33" s="134">
        <f t="shared" ref="U33:U35" si="18">ROUND($U$21/(T33*T33)+($U$22/T33),8)</f>
        <v>7.3691999999999996E-4</v>
      </c>
      <c r="W33" s="100">
        <f t="shared" ref="W33:W35" si="19">+F33-0.0011</f>
        <v>0.93130000000000002</v>
      </c>
      <c r="X33" s="91">
        <f t="shared" ref="X33:X35" si="20">IF(G33="","",ROUND((I33*W33),3))</f>
        <v>4.6159999999999997</v>
      </c>
    </row>
    <row r="34" spans="1:24" ht="13.5" customHeight="1" x14ac:dyDescent="0.15">
      <c r="A34" s="93"/>
      <c r="B34" s="138"/>
      <c r="C34" s="139"/>
      <c r="D34" s="139"/>
      <c r="E34" s="135"/>
      <c r="F34" s="132"/>
      <c r="G34" s="133"/>
      <c r="H34" s="137" t="str">
        <f t="shared" si="14"/>
        <v/>
      </c>
      <c r="I34" s="135" t="str">
        <f t="shared" si="15"/>
        <v/>
      </c>
      <c r="J34" s="135" t="str">
        <f t="shared" si="16"/>
        <v/>
      </c>
      <c r="T34" s="91">
        <f t="shared" si="17"/>
        <v>0</v>
      </c>
      <c r="U34" s="134" t="e">
        <f t="shared" si="18"/>
        <v>#DIV/0!</v>
      </c>
      <c r="W34" s="100">
        <f t="shared" si="19"/>
        <v>-1.1000000000000001E-3</v>
      </c>
      <c r="X34" s="91" t="str">
        <f t="shared" si="20"/>
        <v/>
      </c>
    </row>
    <row r="35" spans="1:24" ht="13.5" customHeight="1" x14ac:dyDescent="0.15">
      <c r="A35" s="93"/>
      <c r="B35" s="138"/>
      <c r="C35" s="139"/>
      <c r="D35" s="139"/>
      <c r="E35" s="135"/>
      <c r="F35" s="132"/>
      <c r="G35" s="133"/>
      <c r="H35" s="137" t="str">
        <f t="shared" si="14"/>
        <v/>
      </c>
      <c r="I35" s="135" t="str">
        <f t="shared" si="15"/>
        <v/>
      </c>
      <c r="J35" s="135" t="str">
        <f t="shared" si="16"/>
        <v/>
      </c>
      <c r="T35" s="91">
        <f t="shared" si="17"/>
        <v>0</v>
      </c>
      <c r="U35" s="134" t="e">
        <f t="shared" si="18"/>
        <v>#DIV/0!</v>
      </c>
      <c r="W35" s="100">
        <f t="shared" si="19"/>
        <v>-1.1000000000000001E-3</v>
      </c>
      <c r="X35" s="91" t="str">
        <f t="shared" si="20"/>
        <v/>
      </c>
    </row>
    <row r="36" spans="1:24" ht="13.5" customHeight="1" x14ac:dyDescent="0.15">
      <c r="A36" s="93"/>
      <c r="B36" s="138"/>
      <c r="C36" s="139"/>
      <c r="D36" s="139"/>
      <c r="E36" s="135"/>
      <c r="F36" s="132"/>
      <c r="G36" s="133"/>
      <c r="H36" s="137" t="str">
        <f t="shared" si="7"/>
        <v/>
      </c>
      <c r="I36" s="135" t="str">
        <f t="shared" si="8"/>
        <v/>
      </c>
      <c r="J36" s="135" t="str">
        <f t="shared" si="9"/>
        <v/>
      </c>
      <c r="T36" s="91">
        <f t="shared" si="10"/>
        <v>0</v>
      </c>
      <c r="U36" s="134" t="e">
        <f t="shared" si="11"/>
        <v>#DIV/0!</v>
      </c>
      <c r="W36" s="100">
        <f t="shared" si="12"/>
        <v>-1.1000000000000001E-3</v>
      </c>
      <c r="X36" s="91" t="str">
        <f t="shared" si="13"/>
        <v/>
      </c>
    </row>
    <row r="37" spans="1:24" ht="13.5" customHeight="1" x14ac:dyDescent="0.15">
      <c r="A37" s="93"/>
      <c r="B37" s="138"/>
      <c r="C37" s="139"/>
      <c r="D37" s="139"/>
      <c r="E37" s="135"/>
      <c r="F37" s="132"/>
      <c r="G37" s="133"/>
      <c r="H37" s="137" t="str">
        <f t="shared" ref="H37" si="21">IF(G37="","",ROUND(EXP(-U37*(G37-15)*(1+0.8*U37*(G37-15))),4))</f>
        <v/>
      </c>
      <c r="I37" s="135" t="str">
        <f t="shared" ref="I37" si="22">IF(G37="","",ROUND(E37*H37,3))</f>
        <v/>
      </c>
      <c r="J37" s="135" t="str">
        <f t="shared" ref="J37" si="23">X37</f>
        <v/>
      </c>
      <c r="T37" s="91">
        <f t="shared" ref="T37" si="24">ROUND(+F37/2*1000,0)*2</f>
        <v>0</v>
      </c>
      <c r="U37" s="134" t="e">
        <f t="shared" ref="U37" si="25">ROUND($U$21/(T37*T37)+($U$22/T37),8)</f>
        <v>#DIV/0!</v>
      </c>
      <c r="W37" s="100">
        <f t="shared" ref="W37" si="26">+F37-0.0011</f>
        <v>-1.1000000000000001E-3</v>
      </c>
      <c r="X37" s="91" t="str">
        <f t="shared" ref="X37" si="27">IF(G37="","",ROUND((I37*W37),3))</f>
        <v/>
      </c>
    </row>
    <row r="38" spans="1:24" ht="13.5" customHeight="1" x14ac:dyDescent="0.15">
      <c r="A38" s="93"/>
      <c r="B38" s="138"/>
      <c r="C38" s="139"/>
      <c r="D38" s="139"/>
      <c r="E38" s="135"/>
      <c r="F38" s="132"/>
      <c r="G38" s="133"/>
      <c r="H38" s="137" t="str">
        <f t="shared" ref="H38" si="28">IF(G38="","",ROUND(EXP(-U38*(G38-15)*(1+0.8*U38*(G38-15))),4))</f>
        <v/>
      </c>
      <c r="I38" s="135" t="str">
        <f t="shared" ref="I38" si="29">IF(G38="","",ROUND(E38*H38,3))</f>
        <v/>
      </c>
      <c r="J38" s="135" t="str">
        <f t="shared" ref="J38" si="30">X38</f>
        <v/>
      </c>
      <c r="T38" s="91">
        <f t="shared" ref="T38" si="31">ROUND(+F38/2*1000,0)*2</f>
        <v>0</v>
      </c>
      <c r="U38" s="134" t="e">
        <f t="shared" ref="U38" si="32">ROUND($U$21/(T38*T38)+($U$22/T38),8)</f>
        <v>#DIV/0!</v>
      </c>
      <c r="W38" s="100">
        <f t="shared" ref="W38" si="33">+F38-0.0011</f>
        <v>-1.1000000000000001E-3</v>
      </c>
      <c r="X38" s="91" t="str">
        <f t="shared" ref="X38" si="34">IF(G38="","",ROUND((I38*W38),3))</f>
        <v/>
      </c>
    </row>
    <row r="39" spans="1:24" ht="13.5" customHeight="1" x14ac:dyDescent="0.15">
      <c r="A39" s="93"/>
      <c r="B39" s="141"/>
      <c r="C39" s="141"/>
      <c r="D39" s="141"/>
      <c r="E39" s="141"/>
      <c r="F39" s="210" t="s">
        <v>27</v>
      </c>
      <c r="G39" s="210"/>
      <c r="H39" s="210"/>
      <c r="I39" s="142">
        <f>SUM(I23:I38)</f>
        <v>500.69400000000002</v>
      </c>
      <c r="J39" s="143"/>
    </row>
    <row r="40" spans="1:24" ht="13.5" customHeight="1" x14ac:dyDescent="0.15">
      <c r="A40" s="93"/>
      <c r="B40" s="144"/>
      <c r="C40" s="144"/>
      <c r="D40" s="141"/>
      <c r="E40" s="141"/>
      <c r="F40" s="145"/>
      <c r="G40" s="145"/>
      <c r="H40" s="208" t="s">
        <v>30</v>
      </c>
      <c r="I40" s="208"/>
      <c r="J40" s="146">
        <f>SUM(J23:J39)</f>
        <v>466.29599999999999</v>
      </c>
    </row>
    <row r="41" spans="1:24" ht="6" customHeight="1" x14ac:dyDescent="0.15">
      <c r="A41" s="93"/>
      <c r="B41" s="122"/>
      <c r="C41" s="122"/>
      <c r="D41" s="122"/>
      <c r="E41" s="122"/>
      <c r="F41" s="147"/>
      <c r="G41" s="122"/>
      <c r="H41" s="122"/>
      <c r="I41" s="148"/>
      <c r="J41" s="148"/>
    </row>
    <row r="42" spans="1:24" ht="21.75" customHeight="1" x14ac:dyDescent="0.2">
      <c r="A42" s="93"/>
      <c r="B42" s="211" t="s">
        <v>73</v>
      </c>
      <c r="C42" s="211"/>
      <c r="D42" s="211"/>
      <c r="E42" s="211"/>
      <c r="F42" s="211"/>
      <c r="G42" s="211"/>
      <c r="H42" s="122"/>
      <c r="I42" s="123"/>
      <c r="J42" s="123"/>
    </row>
    <row r="43" spans="1:24" ht="14.1" customHeight="1" x14ac:dyDescent="0.15">
      <c r="A43" s="93"/>
      <c r="B43" s="124" t="s">
        <v>16</v>
      </c>
      <c r="C43" s="124" t="s">
        <v>44</v>
      </c>
      <c r="D43" s="124" t="s">
        <v>42</v>
      </c>
      <c r="E43" s="124" t="s">
        <v>17</v>
      </c>
      <c r="F43" s="124" t="s">
        <v>14</v>
      </c>
      <c r="G43" s="124" t="s">
        <v>18</v>
      </c>
      <c r="H43" s="124" t="s">
        <v>19</v>
      </c>
      <c r="I43" s="124" t="s">
        <v>20</v>
      </c>
      <c r="J43" s="125" t="s">
        <v>28</v>
      </c>
      <c r="M43" s="149"/>
      <c r="N43" s="149"/>
      <c r="O43" s="149"/>
      <c r="U43" s="91">
        <v>186.96960000000001</v>
      </c>
    </row>
    <row r="44" spans="1:24" ht="14.1" customHeight="1" x14ac:dyDescent="0.15">
      <c r="A44" s="93"/>
      <c r="B44" s="126" t="s">
        <v>66</v>
      </c>
      <c r="C44" s="126" t="s">
        <v>45</v>
      </c>
      <c r="D44" s="127" t="s">
        <v>21</v>
      </c>
      <c r="E44" s="126" t="s">
        <v>22</v>
      </c>
      <c r="F44" s="127" t="s">
        <v>23</v>
      </c>
      <c r="G44" s="126" t="s">
        <v>24</v>
      </c>
      <c r="H44" s="126" t="s">
        <v>25</v>
      </c>
      <c r="I44" s="126" t="s">
        <v>26</v>
      </c>
      <c r="J44" s="128" t="s">
        <v>29</v>
      </c>
      <c r="U44" s="91">
        <v>0.48620000000000002</v>
      </c>
    </row>
    <row r="45" spans="1:24" ht="14.1" customHeight="1" x14ac:dyDescent="0.15">
      <c r="A45" s="93"/>
      <c r="B45" s="126"/>
      <c r="C45" s="126"/>
      <c r="D45" s="127"/>
      <c r="E45" s="126"/>
      <c r="F45" s="127"/>
      <c r="G45" s="126"/>
      <c r="H45" s="126"/>
      <c r="I45" s="126"/>
      <c r="J45" s="128"/>
      <c r="T45" s="91">
        <f>ROUND(+F45/2*1000,0)*2</f>
        <v>0</v>
      </c>
      <c r="U45" s="134" t="e">
        <f>ROUND($U$21/(T45*T45)+($U$22/T45),8)</f>
        <v>#DIV/0!</v>
      </c>
      <c r="W45" s="100">
        <f>+F45-0.0011</f>
        <v>-1.1000000000000001E-3</v>
      </c>
    </row>
    <row r="46" spans="1:24" ht="14.1" customHeight="1" x14ac:dyDescent="0.15">
      <c r="A46" s="93"/>
      <c r="B46" s="126"/>
      <c r="C46" s="126"/>
      <c r="D46" s="127"/>
      <c r="E46" s="126"/>
      <c r="F46" s="127"/>
      <c r="G46" s="126"/>
      <c r="H46" s="126"/>
      <c r="I46" s="126"/>
      <c r="J46" s="128"/>
      <c r="T46" s="91">
        <f>ROUND(+F46/2*1000,0)*2</f>
        <v>0</v>
      </c>
      <c r="U46" s="134" t="e">
        <f>ROUND($U$21/(T46*T46)+($U$22/T46),8)</f>
        <v>#DIV/0!</v>
      </c>
      <c r="W46" s="100">
        <f>+F46-0.0011</f>
        <v>-1.1000000000000001E-3</v>
      </c>
    </row>
    <row r="47" spans="1:24" ht="14.1" customHeight="1" x14ac:dyDescent="0.15">
      <c r="A47" s="93"/>
      <c r="B47" s="126"/>
      <c r="C47" s="126"/>
      <c r="D47" s="127"/>
      <c r="E47" s="126"/>
      <c r="F47" s="127"/>
      <c r="G47" s="126"/>
      <c r="H47" s="126"/>
      <c r="I47" s="126"/>
      <c r="J47" s="128"/>
      <c r="T47" s="91">
        <f>ROUND(+F47/2*1000,0)*2</f>
        <v>0</v>
      </c>
      <c r="U47" s="134" t="e">
        <f>ROUND($U$21/(T47*T47)+($U$22/T47),8)</f>
        <v>#DIV/0!</v>
      </c>
      <c r="W47" s="100">
        <f>+F47-0.0011</f>
        <v>-1.1000000000000001E-3</v>
      </c>
    </row>
    <row r="48" spans="1:24" ht="14.1" customHeight="1" x14ac:dyDescent="0.15">
      <c r="A48" s="93"/>
      <c r="B48" s="126"/>
      <c r="C48" s="126"/>
      <c r="D48" s="127"/>
      <c r="E48" s="126"/>
      <c r="F48" s="127"/>
      <c r="G48" s="126"/>
      <c r="H48" s="126"/>
      <c r="I48" s="126"/>
      <c r="J48" s="128"/>
      <c r="T48" s="91">
        <f>ROUND(+F48/2*1000,0)*2</f>
        <v>0</v>
      </c>
      <c r="U48" s="134" t="e">
        <f>ROUND($U$21/(T48*T48)+($U$22/T48),8)</f>
        <v>#DIV/0!</v>
      </c>
      <c r="W48" s="100">
        <f>+F48-0.0011</f>
        <v>-1.1000000000000001E-3</v>
      </c>
    </row>
    <row r="49" spans="1:24" ht="14.1" customHeight="1" x14ac:dyDescent="0.15">
      <c r="A49" s="93"/>
      <c r="B49" s="141"/>
      <c r="C49" s="141"/>
      <c r="D49" s="141"/>
      <c r="E49" s="141"/>
      <c r="F49" s="209" t="s">
        <v>27</v>
      </c>
      <c r="G49" s="209"/>
      <c r="H49" s="210"/>
      <c r="I49" s="142">
        <f ca="1">SUM(I47:I60)</f>
        <v>0</v>
      </c>
      <c r="J49" s="143"/>
      <c r="U49" s="134"/>
    </row>
    <row r="50" spans="1:24" ht="14.1" customHeight="1" x14ac:dyDescent="0.15">
      <c r="A50" s="93"/>
      <c r="B50" s="144"/>
      <c r="C50" s="144"/>
      <c r="D50" s="141"/>
      <c r="E50" s="141"/>
      <c r="F50" s="145"/>
      <c r="G50" s="145"/>
      <c r="H50" s="208" t="s">
        <v>30</v>
      </c>
      <c r="I50" s="208"/>
      <c r="J50" s="146">
        <f ca="1">SUM(J47:J60)</f>
        <v>0</v>
      </c>
    </row>
    <row r="51" spans="1:24" ht="21.75" customHeight="1" x14ac:dyDescent="0.2">
      <c r="A51" s="93"/>
      <c r="B51" s="211" t="s">
        <v>101</v>
      </c>
      <c r="C51" s="211"/>
      <c r="D51" s="211"/>
      <c r="E51" s="211"/>
      <c r="F51" s="211"/>
      <c r="G51" s="211"/>
      <c r="H51" s="122"/>
      <c r="I51" s="123"/>
      <c r="J51" s="123"/>
    </row>
    <row r="52" spans="1:24" ht="14.1" customHeight="1" x14ac:dyDescent="0.15">
      <c r="A52" s="93"/>
      <c r="B52" s="124" t="s">
        <v>16</v>
      </c>
      <c r="C52" s="124" t="s">
        <v>44</v>
      </c>
      <c r="D52" s="124" t="s">
        <v>42</v>
      </c>
      <c r="E52" s="124" t="s">
        <v>17</v>
      </c>
      <c r="F52" s="124" t="s">
        <v>14</v>
      </c>
      <c r="G52" s="124" t="s">
        <v>18</v>
      </c>
      <c r="H52" s="124" t="s">
        <v>19</v>
      </c>
      <c r="I52" s="125" t="s">
        <v>20</v>
      </c>
      <c r="J52" s="125" t="s">
        <v>28</v>
      </c>
      <c r="M52" s="149"/>
      <c r="N52" s="149"/>
      <c r="O52" s="149"/>
      <c r="U52" s="91">
        <v>186.96960000000001</v>
      </c>
    </row>
    <row r="53" spans="1:24" ht="14.1" customHeight="1" x14ac:dyDescent="0.15">
      <c r="A53" s="93"/>
      <c r="B53" s="126" t="s">
        <v>66</v>
      </c>
      <c r="C53" s="126" t="s">
        <v>45</v>
      </c>
      <c r="D53" s="127" t="s">
        <v>21</v>
      </c>
      <c r="E53" s="126" t="s">
        <v>22</v>
      </c>
      <c r="F53" s="127" t="s">
        <v>23</v>
      </c>
      <c r="G53" s="126" t="s">
        <v>24</v>
      </c>
      <c r="H53" s="126" t="s">
        <v>25</v>
      </c>
      <c r="I53" s="126" t="s">
        <v>26</v>
      </c>
      <c r="J53" s="128" t="s">
        <v>29</v>
      </c>
      <c r="U53" s="91">
        <v>0.48620000000000002</v>
      </c>
    </row>
    <row r="54" spans="1:24" ht="13.5" customHeight="1" x14ac:dyDescent="0.15">
      <c r="A54" s="93"/>
      <c r="B54" s="138" t="s">
        <v>188</v>
      </c>
      <c r="C54" s="139">
        <v>5</v>
      </c>
      <c r="D54" s="139">
        <v>1</v>
      </c>
      <c r="E54" s="135">
        <v>50</v>
      </c>
      <c r="F54" s="137">
        <v>0.84509999999999996</v>
      </c>
      <c r="G54" s="140">
        <v>30</v>
      </c>
      <c r="H54" s="137">
        <f t="shared" ref="H54:H61" si="35">IF(G54="","",ROUND(EXP(-U54*(G54-15)*(1+0.8*U54*(G54-15))),4))</f>
        <v>0.98740000000000006</v>
      </c>
      <c r="I54" s="135">
        <f t="shared" ref="I54:I61" si="36">IF(G54="","",ROUND(E54*H54,3))</f>
        <v>49.37</v>
      </c>
      <c r="J54" s="135">
        <f t="shared" ref="J54:J61" si="37">X54</f>
        <v>41.667999999999999</v>
      </c>
      <c r="T54" s="91">
        <f t="shared" ref="T54:T61" si="38">ROUND(+F54/2*1000,0)*2</f>
        <v>846</v>
      </c>
      <c r="U54" s="134">
        <f t="shared" ref="U54:U61" si="39">ROUND($U$21/(T54*T54)+($U$22/T54),8)</f>
        <v>8.3593999999999997E-4</v>
      </c>
      <c r="W54" s="100">
        <f t="shared" ref="W54:W61" si="40">+F54-0.0011</f>
        <v>0.84399999999999997</v>
      </c>
      <c r="X54" s="91">
        <f t="shared" ref="X54:X61" si="41">IF(G54="","",ROUND((I54*W54),3))</f>
        <v>41.667999999999999</v>
      </c>
    </row>
    <row r="55" spans="1:24" ht="13.5" customHeight="1" x14ac:dyDescent="0.15">
      <c r="A55" s="93"/>
      <c r="B55" s="138" t="s">
        <v>189</v>
      </c>
      <c r="C55" s="139">
        <v>5</v>
      </c>
      <c r="D55" s="139">
        <v>1</v>
      </c>
      <c r="E55" s="135">
        <v>50</v>
      </c>
      <c r="F55" s="137">
        <v>0.84509999999999996</v>
      </c>
      <c r="G55" s="140">
        <v>30</v>
      </c>
      <c r="H55" s="137">
        <f t="shared" si="35"/>
        <v>0.98740000000000006</v>
      </c>
      <c r="I55" s="135">
        <f t="shared" si="36"/>
        <v>49.37</v>
      </c>
      <c r="J55" s="135">
        <f t="shared" si="37"/>
        <v>41.667999999999999</v>
      </c>
      <c r="T55" s="91">
        <f t="shared" si="38"/>
        <v>846</v>
      </c>
      <c r="U55" s="134">
        <f t="shared" si="39"/>
        <v>8.3593999999999997E-4</v>
      </c>
      <c r="W55" s="100">
        <f t="shared" si="40"/>
        <v>0.84399999999999997</v>
      </c>
      <c r="X55" s="91">
        <f t="shared" si="41"/>
        <v>41.667999999999999</v>
      </c>
    </row>
    <row r="56" spans="1:24" ht="13.5" customHeight="1" x14ac:dyDescent="0.15">
      <c r="A56" s="93"/>
      <c r="B56" s="138" t="s">
        <v>190</v>
      </c>
      <c r="C56" s="139" t="s">
        <v>186</v>
      </c>
      <c r="D56" s="139" t="s">
        <v>186</v>
      </c>
      <c r="E56" s="135">
        <v>11</v>
      </c>
      <c r="F56" s="137">
        <v>0.84509999999999996</v>
      </c>
      <c r="G56" s="140">
        <v>35</v>
      </c>
      <c r="H56" s="137">
        <f t="shared" si="35"/>
        <v>0.98319999999999996</v>
      </c>
      <c r="I56" s="135">
        <f t="shared" si="36"/>
        <v>10.815</v>
      </c>
      <c r="J56" s="135">
        <f t="shared" si="37"/>
        <v>9.1280000000000001</v>
      </c>
      <c r="L56" s="150"/>
      <c r="M56" s="204"/>
      <c r="N56" s="204"/>
      <c r="O56" s="204"/>
      <c r="T56" s="91">
        <f t="shared" si="38"/>
        <v>846</v>
      </c>
      <c r="U56" s="134">
        <f t="shared" si="39"/>
        <v>8.3593999999999997E-4</v>
      </c>
      <c r="W56" s="100">
        <f t="shared" si="40"/>
        <v>0.84399999999999997</v>
      </c>
      <c r="X56" s="91">
        <f t="shared" si="41"/>
        <v>9.1280000000000001</v>
      </c>
    </row>
    <row r="57" spans="1:24" ht="14.1" customHeight="1" x14ac:dyDescent="0.15">
      <c r="A57" s="93"/>
      <c r="B57" s="138" t="s">
        <v>191</v>
      </c>
      <c r="C57" s="139" t="s">
        <v>186</v>
      </c>
      <c r="D57" s="139" t="s">
        <v>186</v>
      </c>
      <c r="E57" s="135">
        <v>11</v>
      </c>
      <c r="F57" s="137">
        <v>0.84509999999999996</v>
      </c>
      <c r="G57" s="140">
        <v>35</v>
      </c>
      <c r="H57" s="137">
        <f t="shared" si="35"/>
        <v>0.98319999999999996</v>
      </c>
      <c r="I57" s="135">
        <f t="shared" si="36"/>
        <v>10.815</v>
      </c>
      <c r="J57" s="135">
        <f t="shared" si="37"/>
        <v>9.1280000000000001</v>
      </c>
      <c r="T57" s="91">
        <f t="shared" si="38"/>
        <v>846</v>
      </c>
      <c r="U57" s="134">
        <f t="shared" si="39"/>
        <v>8.3593999999999997E-4</v>
      </c>
      <c r="W57" s="100">
        <f t="shared" si="40"/>
        <v>0.84399999999999997</v>
      </c>
      <c r="X57" s="91">
        <f t="shared" si="41"/>
        <v>9.1280000000000001</v>
      </c>
    </row>
    <row r="58" spans="1:24" ht="13.5" customHeight="1" x14ac:dyDescent="0.15">
      <c r="A58" s="93"/>
      <c r="B58" s="138"/>
      <c r="C58" s="139"/>
      <c r="D58" s="139"/>
      <c r="E58" s="135"/>
      <c r="F58" s="137"/>
      <c r="G58" s="140"/>
      <c r="H58" s="137" t="str">
        <f t="shared" ref="H58:H59" si="42">IF(G58="","",ROUND(EXP(-U58*(G58-15)*(1+0.8*U58*(G58-15))),4))</f>
        <v/>
      </c>
      <c r="I58" s="135" t="str">
        <f t="shared" ref="I58:I59" si="43">IF(G58="","",ROUND(E58*H58,3))</f>
        <v/>
      </c>
      <c r="J58" s="135" t="str">
        <f t="shared" ref="J58:J59" si="44">X58</f>
        <v/>
      </c>
      <c r="T58" s="91">
        <f t="shared" ref="T58:T59" si="45">ROUND(+F58/2*1000,0)*2</f>
        <v>0</v>
      </c>
      <c r="U58" s="134" t="e">
        <f t="shared" ref="U58:U59" si="46">ROUND($U$21/(T58*T58)+($U$22/T58),8)</f>
        <v>#DIV/0!</v>
      </c>
      <c r="W58" s="100">
        <f t="shared" ref="W58:W59" si="47">+F58-0.0011</f>
        <v>-1.1000000000000001E-3</v>
      </c>
      <c r="X58" s="91" t="str">
        <f t="shared" ref="X58:X59" si="48">IF(G58="","",ROUND((I58*W58),3))</f>
        <v/>
      </c>
    </row>
    <row r="59" spans="1:24" ht="13.5" customHeight="1" x14ac:dyDescent="0.15">
      <c r="A59" s="93"/>
      <c r="B59" s="138"/>
      <c r="C59" s="139"/>
      <c r="D59" s="139"/>
      <c r="E59" s="135"/>
      <c r="F59" s="137"/>
      <c r="G59" s="140"/>
      <c r="H59" s="137" t="str">
        <f t="shared" si="42"/>
        <v/>
      </c>
      <c r="I59" s="135" t="str">
        <f t="shared" si="43"/>
        <v/>
      </c>
      <c r="J59" s="135" t="str">
        <f t="shared" si="44"/>
        <v/>
      </c>
      <c r="T59" s="91">
        <f t="shared" si="45"/>
        <v>0</v>
      </c>
      <c r="U59" s="134" t="e">
        <f t="shared" si="46"/>
        <v>#DIV/0!</v>
      </c>
      <c r="W59" s="100">
        <f t="shared" si="47"/>
        <v>-1.1000000000000001E-3</v>
      </c>
      <c r="X59" s="91" t="str">
        <f t="shared" si="48"/>
        <v/>
      </c>
    </row>
    <row r="60" spans="1:24" ht="13.5" customHeight="1" x14ac:dyDescent="0.15">
      <c r="A60" s="93"/>
      <c r="B60" s="138"/>
      <c r="C60" s="139"/>
      <c r="D60" s="139"/>
      <c r="E60" s="135"/>
      <c r="F60" s="137"/>
      <c r="G60" s="140"/>
      <c r="H60" s="137" t="str">
        <f t="shared" si="35"/>
        <v/>
      </c>
      <c r="I60" s="135" t="str">
        <f t="shared" si="36"/>
        <v/>
      </c>
      <c r="J60" s="135" t="str">
        <f t="shared" si="37"/>
        <v/>
      </c>
      <c r="T60" s="91">
        <f t="shared" si="38"/>
        <v>0</v>
      </c>
      <c r="U60" s="134" t="e">
        <f t="shared" si="39"/>
        <v>#DIV/0!</v>
      </c>
      <c r="W60" s="100">
        <f t="shared" si="40"/>
        <v>-1.1000000000000001E-3</v>
      </c>
      <c r="X60" s="91" t="str">
        <f t="shared" si="41"/>
        <v/>
      </c>
    </row>
    <row r="61" spans="1:24" ht="13.5" customHeight="1" x14ac:dyDescent="0.15">
      <c r="A61" s="93"/>
      <c r="B61" s="138"/>
      <c r="C61" s="139"/>
      <c r="D61" s="139"/>
      <c r="E61" s="135"/>
      <c r="F61" s="137"/>
      <c r="G61" s="140"/>
      <c r="H61" s="137" t="str">
        <f t="shared" si="35"/>
        <v/>
      </c>
      <c r="I61" s="135" t="str">
        <f t="shared" si="36"/>
        <v/>
      </c>
      <c r="J61" s="135" t="str">
        <f t="shared" si="37"/>
        <v/>
      </c>
      <c r="T61" s="91">
        <f t="shared" si="38"/>
        <v>0</v>
      </c>
      <c r="U61" s="134" t="e">
        <f t="shared" si="39"/>
        <v>#DIV/0!</v>
      </c>
      <c r="W61" s="100">
        <f t="shared" si="40"/>
        <v>-1.1000000000000001E-3</v>
      </c>
      <c r="X61" s="91" t="str">
        <f t="shared" si="41"/>
        <v/>
      </c>
    </row>
    <row r="62" spans="1:24" ht="13.5" customHeight="1" x14ac:dyDescent="0.15">
      <c r="A62" s="93"/>
      <c r="B62" s="141"/>
      <c r="C62" s="141"/>
      <c r="D62" s="141"/>
      <c r="E62" s="141"/>
      <c r="F62" s="209" t="s">
        <v>27</v>
      </c>
      <c r="G62" s="209"/>
      <c r="H62" s="210"/>
      <c r="I62" s="142">
        <f>SUM(I54:I61)</f>
        <v>120.37</v>
      </c>
      <c r="J62" s="143"/>
    </row>
    <row r="63" spans="1:24" ht="14.1" customHeight="1" x14ac:dyDescent="0.15">
      <c r="A63" s="93"/>
      <c r="B63" s="144"/>
      <c r="C63" s="144"/>
      <c r="D63" s="141"/>
      <c r="E63" s="141"/>
      <c r="F63" s="145"/>
      <c r="G63" s="145"/>
      <c r="H63" s="208" t="s">
        <v>30</v>
      </c>
      <c r="I63" s="208"/>
      <c r="J63" s="146">
        <f>SUM(J54:J62)</f>
        <v>101.592</v>
      </c>
    </row>
    <row r="64" spans="1:24" ht="6" customHeight="1" x14ac:dyDescent="0.15">
      <c r="A64" s="151"/>
      <c r="B64" s="152"/>
      <c r="C64" s="152"/>
      <c r="D64" s="152"/>
      <c r="E64" s="152"/>
      <c r="F64" s="153"/>
      <c r="G64" s="152"/>
      <c r="H64" s="152"/>
      <c r="I64" s="154"/>
      <c r="J64" s="154"/>
    </row>
    <row r="65" spans="1:10" ht="12.75" customHeight="1" x14ac:dyDescent="0.15">
      <c r="A65" s="151"/>
      <c r="B65" s="212" t="s">
        <v>70</v>
      </c>
      <c r="C65" s="212"/>
      <c r="D65" s="212"/>
      <c r="E65" s="212"/>
      <c r="F65" s="212"/>
      <c r="G65" s="212"/>
      <c r="H65" s="212"/>
      <c r="I65" s="212"/>
      <c r="J65" s="212"/>
    </row>
    <row r="66" spans="1:10" ht="12.75" customHeight="1" x14ac:dyDescent="0.15">
      <c r="A66" s="151"/>
      <c r="B66" s="212"/>
      <c r="C66" s="212"/>
      <c r="D66" s="212"/>
      <c r="E66" s="212"/>
      <c r="F66" s="212"/>
      <c r="G66" s="212"/>
      <c r="H66" s="212"/>
      <c r="I66" s="212"/>
      <c r="J66" s="212"/>
    </row>
    <row r="67" spans="1:10" ht="12.75" customHeight="1" x14ac:dyDescent="0.15">
      <c r="A67" s="151"/>
      <c r="B67" s="155"/>
      <c r="C67" s="155"/>
      <c r="D67" s="152"/>
      <c r="E67" s="152"/>
      <c r="F67" s="152"/>
      <c r="G67" s="152"/>
      <c r="H67" s="156"/>
      <c r="I67" s="156"/>
      <c r="J67" s="156"/>
    </row>
    <row r="68" spans="1:10" ht="13.5" customHeight="1" x14ac:dyDescent="0.15">
      <c r="A68" s="151"/>
      <c r="B68" s="157" t="s">
        <v>57</v>
      </c>
      <c r="C68" s="176">
        <f>J40</f>
        <v>466.29599999999999</v>
      </c>
      <c r="D68" s="157" t="s">
        <v>0</v>
      </c>
      <c r="F68" s="152"/>
      <c r="J68" s="156"/>
    </row>
    <row r="69" spans="1:10" ht="13.5" customHeight="1" x14ac:dyDescent="0.15">
      <c r="A69" s="151"/>
      <c r="B69" s="157" t="s">
        <v>58</v>
      </c>
      <c r="C69" s="177">
        <f ca="1">J50</f>
        <v>0</v>
      </c>
      <c r="D69" s="158" t="s">
        <v>0</v>
      </c>
      <c r="E69" s="152"/>
      <c r="F69" s="152"/>
      <c r="G69" s="156"/>
      <c r="H69" s="159"/>
      <c r="I69" s="156"/>
      <c r="J69" s="156"/>
    </row>
    <row r="70" spans="1:10" ht="13.5" customHeight="1" x14ac:dyDescent="0.15">
      <c r="A70" s="151"/>
      <c r="B70" s="160" t="s">
        <v>100</v>
      </c>
      <c r="C70" s="178">
        <f>J63</f>
        <v>101.592</v>
      </c>
      <c r="D70" s="160" t="s">
        <v>0</v>
      </c>
      <c r="E70" s="152"/>
      <c r="F70" s="152"/>
      <c r="G70" s="156"/>
      <c r="H70" s="159"/>
      <c r="I70" s="156"/>
      <c r="J70" s="156"/>
    </row>
    <row r="71" spans="1:10" ht="13.5" customHeight="1" x14ac:dyDescent="0.15">
      <c r="A71" s="151"/>
      <c r="B71" s="152"/>
      <c r="C71" s="152"/>
      <c r="D71" s="161"/>
      <c r="E71" s="152"/>
      <c r="F71" s="152"/>
      <c r="G71" s="156"/>
      <c r="H71" s="159"/>
      <c r="I71" s="156"/>
      <c r="J71" s="156"/>
    </row>
    <row r="72" spans="1:10" ht="13.5" customHeight="1" x14ac:dyDescent="0.15">
      <c r="A72" s="151"/>
      <c r="B72" s="152"/>
      <c r="C72" s="152"/>
      <c r="D72" s="161"/>
      <c r="E72" s="152"/>
      <c r="F72" s="152"/>
      <c r="G72" s="156"/>
      <c r="H72" s="159"/>
      <c r="I72" s="156"/>
      <c r="J72" s="156"/>
    </row>
    <row r="73" spans="1:10" ht="13.5" customHeight="1" x14ac:dyDescent="0.15">
      <c r="A73" s="151"/>
      <c r="B73" s="162"/>
      <c r="C73" s="162"/>
      <c r="D73" s="163"/>
      <c r="E73" s="152"/>
      <c r="F73" s="156"/>
      <c r="G73" s="156"/>
      <c r="H73" s="156"/>
      <c r="I73" s="156"/>
      <c r="J73" s="156"/>
    </row>
    <row r="74" spans="1:10" ht="12.75" customHeight="1" x14ac:dyDescent="0.15">
      <c r="A74" s="151"/>
      <c r="B74" s="164" t="s">
        <v>41</v>
      </c>
      <c r="C74" s="156"/>
      <c r="D74" s="156"/>
      <c r="E74" s="156"/>
      <c r="G74" s="156" t="s">
        <v>43</v>
      </c>
      <c r="H74" s="156"/>
    </row>
    <row r="75" spans="1:10" ht="12.75" customHeight="1" x14ac:dyDescent="0.15">
      <c r="A75" s="151"/>
      <c r="B75" s="37" t="str">
        <f>CONCATENATE("Capt. ",'SHIP DETAILS'!C17,"")</f>
        <v>Capt. KAMAL PANDEY</v>
      </c>
      <c r="C75" s="165"/>
      <c r="D75" s="165"/>
      <c r="E75" s="165"/>
      <c r="F75" s="166"/>
      <c r="G75" s="166"/>
      <c r="H75" s="166"/>
      <c r="I75" s="166"/>
      <c r="J75" s="166"/>
    </row>
    <row r="76" spans="1:10" ht="12.75" customHeight="1" x14ac:dyDescent="0.15">
      <c r="A76" s="151"/>
      <c r="B76" s="156"/>
      <c r="C76" s="165"/>
      <c r="D76" s="165"/>
      <c r="E76" s="165"/>
      <c r="F76" s="166"/>
      <c r="G76" s="166"/>
      <c r="H76" s="166"/>
      <c r="I76" s="166"/>
      <c r="J76" s="166"/>
    </row>
    <row r="77" spans="1:10" ht="12.75" customHeight="1" x14ac:dyDescent="0.15">
      <c r="A77" s="151"/>
      <c r="B77" s="156"/>
      <c r="C77" s="156"/>
      <c r="D77" s="156"/>
      <c r="E77" s="156"/>
      <c r="F77" s="156"/>
      <c r="G77" s="156"/>
      <c r="H77" s="156"/>
      <c r="I77" s="156"/>
      <c r="J77" s="167"/>
    </row>
    <row r="78" spans="1:10" ht="12.75" customHeight="1" x14ac:dyDescent="0.15">
      <c r="A78" s="151"/>
      <c r="B78" s="162"/>
      <c r="C78" s="167"/>
      <c r="D78" s="167"/>
      <c r="E78" s="156"/>
      <c r="F78" s="156"/>
      <c r="G78" s="168" t="s">
        <v>49</v>
      </c>
      <c r="H78" s="168"/>
      <c r="I78" s="168"/>
    </row>
    <row r="79" spans="1:10" ht="12.75" customHeight="1" x14ac:dyDescent="0.15">
      <c r="A79" s="151"/>
      <c r="B79" s="164" t="s">
        <v>48</v>
      </c>
      <c r="C79" s="156"/>
      <c r="D79" s="156"/>
      <c r="E79" s="156"/>
      <c r="G79" s="37" t="s">
        <v>193</v>
      </c>
    </row>
    <row r="80" spans="1:10" x14ac:dyDescent="0.15">
      <c r="A80" s="151"/>
      <c r="B80" s="37" t="str">
        <f>CONCATENATE("Mr. ",'SHIP DETAILS'!C18,"")</f>
        <v>Mr. MUKESH KUMAR</v>
      </c>
      <c r="C80" s="165"/>
      <c r="D80" s="165"/>
      <c r="E80" s="165"/>
      <c r="F80" s="169"/>
      <c r="G80" s="37" t="str">
        <f>CONCATENATE("Mr. ",'SHIP DETAILS'!C19,"")</f>
        <v>Mr. ASHOK JANAPALA</v>
      </c>
      <c r="H80" s="165"/>
      <c r="I80" s="169"/>
    </row>
    <row r="81" spans="1:10" ht="12.75" customHeight="1" x14ac:dyDescent="0.15">
      <c r="A81" s="151"/>
      <c r="B81" s="156"/>
      <c r="C81" s="156"/>
      <c r="D81" s="156"/>
      <c r="E81" s="156"/>
      <c r="F81" s="156"/>
      <c r="G81" s="213"/>
      <c r="H81" s="213"/>
      <c r="I81" s="213"/>
      <c r="J81" s="213"/>
    </row>
    <row r="82" spans="1:10" ht="12.75" customHeight="1" x14ac:dyDescent="0.15">
      <c r="A82" s="151"/>
      <c r="B82" s="156"/>
      <c r="C82" s="156"/>
      <c r="D82" s="156"/>
      <c r="E82" s="156"/>
      <c r="G82" s="156"/>
      <c r="H82" s="156"/>
    </row>
    <row r="83" spans="1:10" x14ac:dyDescent="0.15">
      <c r="A83" s="151"/>
      <c r="F83" s="200"/>
      <c r="G83" s="200"/>
      <c r="H83" s="200"/>
      <c r="I83" s="156"/>
      <c r="J83" s="156"/>
    </row>
    <row r="84" spans="1:10" x14ac:dyDescent="0.15">
      <c r="A84" s="151"/>
      <c r="B84" s="156"/>
      <c r="C84" s="156"/>
      <c r="D84" s="156"/>
      <c r="E84" s="156"/>
      <c r="F84" s="199"/>
      <c r="G84" s="199"/>
      <c r="H84" s="199"/>
      <c r="I84" s="199"/>
      <c r="J84" s="156"/>
    </row>
    <row r="85" spans="1:10" x14ac:dyDescent="0.15">
      <c r="A85" s="151"/>
      <c r="B85" s="151"/>
      <c r="C85" s="151"/>
      <c r="D85" s="151"/>
      <c r="E85" s="151"/>
      <c r="F85" s="151"/>
      <c r="G85" s="151"/>
      <c r="H85" s="151"/>
      <c r="I85" s="151"/>
      <c r="J85" s="151"/>
    </row>
    <row r="86" spans="1:10" x14ac:dyDescent="0.15">
      <c r="A86" s="151"/>
      <c r="B86" s="151"/>
      <c r="C86" s="151"/>
      <c r="D86" s="151"/>
      <c r="E86" s="151"/>
      <c r="F86" s="151"/>
      <c r="G86" s="151"/>
      <c r="H86" s="151"/>
      <c r="I86" s="151"/>
      <c r="J86" s="151"/>
    </row>
    <row r="87" spans="1:10" x14ac:dyDescent="0.15">
      <c r="A87" s="151"/>
      <c r="B87" s="151"/>
      <c r="C87" s="151"/>
      <c r="D87" s="151"/>
      <c r="E87" s="151"/>
      <c r="F87" s="151"/>
      <c r="G87" s="151"/>
      <c r="H87" s="151"/>
      <c r="I87" s="151"/>
      <c r="J87" s="151"/>
    </row>
    <row r="88" spans="1:10" x14ac:dyDescent="0.15">
      <c r="A88" s="151"/>
      <c r="B88" s="151"/>
      <c r="C88" s="151"/>
      <c r="D88" s="151"/>
      <c r="E88" s="151"/>
      <c r="F88" s="151"/>
      <c r="G88" s="151"/>
      <c r="H88" s="151"/>
      <c r="I88" s="151"/>
      <c r="J88" s="151"/>
    </row>
    <row r="89" spans="1:10" x14ac:dyDescent="0.15">
      <c r="A89" s="151"/>
      <c r="B89" s="151"/>
      <c r="C89" s="151"/>
      <c r="D89" s="151"/>
      <c r="E89" s="151"/>
      <c r="F89" s="151"/>
      <c r="G89" s="151"/>
      <c r="H89" s="151"/>
      <c r="I89" s="151"/>
      <c r="J89" s="151"/>
    </row>
    <row r="90" spans="1:10" x14ac:dyDescent="0.15">
      <c r="A90" s="151"/>
      <c r="B90" s="151"/>
      <c r="C90" s="151"/>
      <c r="D90" s="151"/>
      <c r="E90" s="151"/>
      <c r="F90" s="151"/>
      <c r="G90" s="151"/>
      <c r="H90" s="151"/>
      <c r="I90" s="151"/>
      <c r="J90" s="151"/>
    </row>
    <row r="91" spans="1:10" x14ac:dyDescent="0.15">
      <c r="A91" s="151"/>
      <c r="B91" s="151"/>
      <c r="C91" s="151"/>
      <c r="D91" s="151"/>
      <c r="E91" s="151"/>
      <c r="F91" s="151"/>
      <c r="G91" s="151"/>
      <c r="H91" s="151"/>
      <c r="I91" s="151"/>
      <c r="J91" s="151"/>
    </row>
    <row r="92" spans="1:10" x14ac:dyDescent="0.15">
      <c r="A92" s="151"/>
      <c r="B92" s="151"/>
      <c r="C92" s="151"/>
      <c r="D92" s="151"/>
      <c r="E92" s="151"/>
      <c r="F92" s="151"/>
      <c r="G92" s="151"/>
      <c r="H92" s="151"/>
      <c r="I92" s="151"/>
      <c r="J92" s="151"/>
    </row>
    <row r="93" spans="1:10" x14ac:dyDescent="0.15">
      <c r="A93" s="151"/>
      <c r="B93" s="151"/>
      <c r="C93" s="151"/>
      <c r="D93" s="151"/>
      <c r="E93" s="151"/>
      <c r="F93" s="151"/>
      <c r="G93" s="151"/>
      <c r="H93" s="151"/>
      <c r="I93" s="151"/>
      <c r="J93" s="151"/>
    </row>
    <row r="94" spans="1:10" x14ac:dyDescent="0.15">
      <c r="A94" s="151"/>
      <c r="B94" s="151"/>
      <c r="C94" s="151"/>
      <c r="D94" s="151"/>
      <c r="E94" s="151"/>
      <c r="F94" s="151"/>
      <c r="G94" s="151"/>
      <c r="H94" s="151"/>
      <c r="I94" s="151"/>
      <c r="J94" s="151"/>
    </row>
  </sheetData>
  <mergeCells count="31">
    <mergeCell ref="F10:H10"/>
    <mergeCell ref="B1:J4"/>
    <mergeCell ref="F62:H62"/>
    <mergeCell ref="H63:I63"/>
    <mergeCell ref="B20:G20"/>
    <mergeCell ref="A6:J6"/>
    <mergeCell ref="A8:J8"/>
    <mergeCell ref="C10:E10"/>
    <mergeCell ref="C11:E11"/>
    <mergeCell ref="C15:E15"/>
    <mergeCell ref="C16:E16"/>
    <mergeCell ref="A7:J7"/>
    <mergeCell ref="C12:D12"/>
    <mergeCell ref="C13:D13"/>
    <mergeCell ref="M12:O12"/>
    <mergeCell ref="M13:O13"/>
    <mergeCell ref="M21:N21"/>
    <mergeCell ref="F39:H39"/>
    <mergeCell ref="C14:D14"/>
    <mergeCell ref="F84:I84"/>
    <mergeCell ref="F83:H83"/>
    <mergeCell ref="M14:O14"/>
    <mergeCell ref="M56:O56"/>
    <mergeCell ref="M15:O15"/>
    <mergeCell ref="H50:I50"/>
    <mergeCell ref="F49:H49"/>
    <mergeCell ref="B51:G51"/>
    <mergeCell ref="H40:I40"/>
    <mergeCell ref="B65:J66"/>
    <mergeCell ref="G81:J81"/>
    <mergeCell ref="B42:G42"/>
  </mergeCells>
  <phoneticPr fontId="14" type="noConversion"/>
  <printOptions horizontalCentered="1" verticalCentered="1"/>
  <pageMargins left="0.35433070866141736" right="0.12" top="0.09" bottom="0" header="0" footer="0"/>
  <pageSetup paperSize="9" scale="69" orientation="portrait" horizontalDpi="4294967293"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BE948-26F1-4ED7-8BF0-28304C54959C}">
  <dimension ref="A1:L49"/>
  <sheetViews>
    <sheetView topLeftCell="A4" zoomScaleNormal="100" workbookViewId="0">
      <selection activeCell="D8" sqref="D8:G8"/>
    </sheetView>
  </sheetViews>
  <sheetFormatPr defaultRowHeight="13.5" x14ac:dyDescent="0.2"/>
  <cols>
    <col min="9" max="9" width="8.87109375" customWidth="1"/>
    <col min="10" max="10" width="25.2421875" customWidth="1"/>
    <col min="11" max="12" width="8.87109375" hidden="1" customWidth="1"/>
  </cols>
  <sheetData>
    <row r="1" spans="1:12" ht="12.6" customHeight="1" x14ac:dyDescent="0.2">
      <c r="A1" s="226"/>
      <c r="B1" s="226"/>
      <c r="C1" s="226"/>
      <c r="D1" s="226"/>
      <c r="E1" s="226"/>
      <c r="F1" s="226"/>
      <c r="G1" s="226"/>
      <c r="H1" s="226"/>
      <c r="I1" s="226"/>
      <c r="J1" s="226"/>
      <c r="K1" s="226"/>
      <c r="L1" s="226"/>
    </row>
    <row r="2" spans="1:12" ht="12.6" customHeight="1" x14ac:dyDescent="0.2">
      <c r="A2" s="226"/>
      <c r="B2" s="226"/>
      <c r="C2" s="226"/>
      <c r="D2" s="226"/>
      <c r="E2" s="226"/>
      <c r="F2" s="226"/>
      <c r="G2" s="226"/>
      <c r="H2" s="226"/>
      <c r="I2" s="226"/>
      <c r="J2" s="226"/>
      <c r="K2" s="226"/>
      <c r="L2" s="226"/>
    </row>
    <row r="3" spans="1:12" ht="12.6" customHeight="1" x14ac:dyDescent="0.2">
      <c r="A3" s="226"/>
      <c r="B3" s="226"/>
      <c r="C3" s="226"/>
      <c r="D3" s="226"/>
      <c r="E3" s="226"/>
      <c r="F3" s="226"/>
      <c r="G3" s="226"/>
      <c r="H3" s="226"/>
      <c r="I3" s="226"/>
      <c r="J3" s="226"/>
      <c r="K3" s="226"/>
      <c r="L3" s="226"/>
    </row>
    <row r="4" spans="1:12" ht="12.6" customHeight="1" x14ac:dyDescent="0.2">
      <c r="A4" s="226"/>
      <c r="B4" s="226"/>
      <c r="C4" s="226"/>
      <c r="D4" s="226"/>
      <c r="E4" s="226"/>
      <c r="F4" s="226"/>
      <c r="G4" s="226"/>
      <c r="H4" s="226"/>
      <c r="I4" s="226"/>
      <c r="J4" s="226"/>
      <c r="K4" s="226"/>
      <c r="L4" s="226"/>
    </row>
    <row r="5" spans="1:12" x14ac:dyDescent="0.2">
      <c r="A5" s="34"/>
      <c r="B5" s="34"/>
      <c r="C5" s="34"/>
      <c r="D5" s="34"/>
      <c r="E5" s="34"/>
      <c r="F5" s="34"/>
      <c r="G5" s="34"/>
      <c r="H5" s="34"/>
      <c r="I5" s="34"/>
      <c r="J5" s="34"/>
      <c r="K5" s="34"/>
      <c r="L5" s="34"/>
    </row>
    <row r="6" spans="1:12" ht="18" x14ac:dyDescent="0.2">
      <c r="A6" s="229" t="s">
        <v>88</v>
      </c>
      <c r="B6" s="229"/>
      <c r="C6" s="229"/>
      <c r="D6" s="229"/>
      <c r="E6" s="229"/>
      <c r="F6" s="229"/>
      <c r="G6" s="229"/>
      <c r="H6" s="229"/>
      <c r="I6" s="229"/>
      <c r="J6" s="229"/>
      <c r="K6" s="229"/>
      <c r="L6" s="229"/>
    </row>
    <row r="7" spans="1:12" ht="18" x14ac:dyDescent="0.2">
      <c r="A7" s="44"/>
      <c r="B7" s="44"/>
      <c r="C7" s="44"/>
      <c r="D7" s="44"/>
      <c r="E7" s="44"/>
      <c r="F7" s="44"/>
      <c r="G7" s="44"/>
      <c r="H7" s="44"/>
      <c r="I7" s="44"/>
      <c r="J7" s="34"/>
      <c r="K7" s="34"/>
      <c r="L7" s="34"/>
    </row>
    <row r="8" spans="1:12" ht="14.25" x14ac:dyDescent="0.2">
      <c r="A8" s="227" t="s">
        <v>93</v>
      </c>
      <c r="B8" s="227"/>
      <c r="C8" s="227"/>
      <c r="D8" s="228" t="str">
        <f>'SHIP DETAILS'!G4</f>
        <v>As per Master's Report</v>
      </c>
      <c r="E8" s="228"/>
      <c r="F8" s="228"/>
      <c r="G8" s="228"/>
      <c r="H8" s="36"/>
      <c r="I8" s="34"/>
      <c r="J8" s="34"/>
      <c r="K8" s="34"/>
      <c r="L8" s="34"/>
    </row>
    <row r="9" spans="1:12" ht="14.25" x14ac:dyDescent="0.2">
      <c r="A9" s="227" t="s">
        <v>94</v>
      </c>
      <c r="B9" s="227"/>
      <c r="C9" s="227"/>
      <c r="D9" s="228" t="str">
        <f>'SHIP DETAILS'!G5</f>
        <v>As per Master's Report</v>
      </c>
      <c r="E9" s="228"/>
      <c r="F9" s="228"/>
      <c r="G9" s="228"/>
      <c r="H9" s="36"/>
      <c r="I9" s="36"/>
      <c r="J9" s="34"/>
      <c r="K9" s="34"/>
      <c r="L9" s="34"/>
    </row>
    <row r="10" spans="1:12" ht="14.25" x14ac:dyDescent="0.2">
      <c r="A10" s="227" t="s">
        <v>95</v>
      </c>
      <c r="B10" s="227"/>
      <c r="C10" s="227"/>
      <c r="D10" s="228" t="str">
        <f>'SHIP DETAILS'!G6</f>
        <v>As per Master's Report</v>
      </c>
      <c r="E10" s="228"/>
      <c r="F10" s="228"/>
      <c r="G10" s="228"/>
      <c r="H10" s="36"/>
      <c r="I10" s="36"/>
      <c r="J10" s="34"/>
      <c r="K10" s="34"/>
      <c r="L10" s="34"/>
    </row>
    <row r="11" spans="1:12" x14ac:dyDescent="0.2">
      <c r="A11" s="236"/>
      <c r="B11" s="236"/>
      <c r="C11" s="36"/>
      <c r="D11" s="36"/>
      <c r="E11" s="36"/>
      <c r="F11" s="36"/>
      <c r="G11" s="36"/>
      <c r="H11" s="36"/>
      <c r="I11" s="36"/>
      <c r="J11" s="34"/>
      <c r="K11" s="34"/>
      <c r="L11" s="34"/>
    </row>
    <row r="12" spans="1:12" ht="14.25" x14ac:dyDescent="0.2">
      <c r="A12" s="241" t="s">
        <v>96</v>
      </c>
      <c r="B12" s="241"/>
      <c r="C12" s="241"/>
      <c r="D12" s="241"/>
      <c r="E12" s="242" t="str">
        <f>'SHIP DETAILS'!C13</f>
        <v>28th JANUARY 2026</v>
      </c>
      <c r="F12" s="243"/>
      <c r="G12" s="243"/>
      <c r="H12" s="244"/>
      <c r="I12" s="88">
        <f>'SHIP DETAILS'!D13</f>
        <v>0.58333333333333304</v>
      </c>
      <c r="J12" s="89" t="s">
        <v>158</v>
      </c>
      <c r="K12" s="60"/>
      <c r="L12" s="60"/>
    </row>
    <row r="13" spans="1:12" x14ac:dyDescent="0.2">
      <c r="A13" s="34"/>
      <c r="B13" s="34"/>
      <c r="C13" s="34"/>
      <c r="D13" s="34"/>
      <c r="E13" s="34"/>
      <c r="F13" s="34"/>
      <c r="G13" s="34"/>
      <c r="H13" s="34"/>
      <c r="I13" s="34"/>
      <c r="J13" s="34"/>
      <c r="K13" s="34"/>
      <c r="L13" s="34"/>
    </row>
    <row r="14" spans="1:12" ht="12.6" customHeight="1" x14ac:dyDescent="0.2">
      <c r="A14" s="231" t="str">
        <f>CONCATENATE("This is to certify that ",'SHIP DETAILS'!C2,", under ",'SHIP DETAILS'!C4," Flag,  Port of Registry ",'SHIP DETAILS'!C5,", GRT ",'SHIP DETAILS'!C6,", NRT ",'SHIP DETAILS'!C7,", Redelivered to Messrs ",'SHIP DETAILS'!C9,", by Messrs ",'SHIP DETAILS'!C10,", subject to all terms, conditions and exceptions agreed between Owners and Charterers as per governing Charter Party.")</f>
        <v>This is to certify that MV. RISHABH, under MARSHALL ISLANDS Flag,  Port of Registry MAJURO, GRT 34512, NRT 19874, Redelivered to Messrs PRAYAN SHIPPING INC, by Messrs DAVA PTE. LTD, subject to all terms, conditions and exceptions agreed between Owners and Charterers as per governing Charter Party.</v>
      </c>
      <c r="B14" s="231"/>
      <c r="C14" s="231"/>
      <c r="D14" s="231"/>
      <c r="E14" s="231"/>
      <c r="F14" s="231"/>
      <c r="G14" s="231"/>
      <c r="H14" s="231"/>
      <c r="I14" s="231"/>
      <c r="J14" s="231"/>
      <c r="K14" s="231"/>
      <c r="L14" s="231"/>
    </row>
    <row r="15" spans="1:12" ht="48" customHeight="1" x14ac:dyDescent="0.2">
      <c r="A15" s="231"/>
      <c r="B15" s="231"/>
      <c r="C15" s="231"/>
      <c r="D15" s="231"/>
      <c r="E15" s="231"/>
      <c r="F15" s="231"/>
      <c r="G15" s="231"/>
      <c r="H15" s="231"/>
      <c r="I15" s="231"/>
      <c r="J15" s="231"/>
      <c r="K15" s="231"/>
      <c r="L15" s="231"/>
    </row>
    <row r="16" spans="1:12" ht="64.349999999999994" customHeight="1" x14ac:dyDescent="0.2">
      <c r="A16" s="237" t="str">
        <f>CONCATENATE("The undersigned Independent Marine Surveyor, acting ",'SHIP DETAILS'!C10,", to carried out Bunker Survey in order to determine the amount of bunkers remain on board."," All bunker tanks were carefully sounded with the presence of Chief Engineer and the following"," quantities found and agreed, as calculated from the vessel's calibration tables.")</f>
        <v>The undersigned Independent Marine Surveyor, acting DAVA PTE. LTD, to carried out Bunker Survey in order to determine the amount of bunkers remain on board. All bunker tanks were carefully sounded with the presence of Chief Engineer and the following quantities found and agreed, as calculated from the vessel's calibration tables.</v>
      </c>
      <c r="B16" s="237"/>
      <c r="C16" s="237"/>
      <c r="D16" s="237"/>
      <c r="E16" s="237"/>
      <c r="F16" s="237"/>
      <c r="G16" s="237"/>
      <c r="H16" s="237"/>
      <c r="I16" s="237"/>
      <c r="J16" s="237"/>
      <c r="K16" s="237"/>
      <c r="L16" s="237"/>
    </row>
    <row r="17" spans="1:12" ht="14.25" x14ac:dyDescent="0.2">
      <c r="A17" s="58"/>
      <c r="B17" s="62"/>
      <c r="C17" s="62"/>
      <c r="D17" s="62" t="str">
        <f>'TABLES 54B'!B20</f>
        <v xml:space="preserve">Very Low Sulpher Fuel Oil </v>
      </c>
      <c r="E17" s="233">
        <f>'TABLES 54B'!J40</f>
        <v>466.29599999999999</v>
      </c>
      <c r="F17" s="233"/>
      <c r="G17" s="63" t="s">
        <v>89</v>
      </c>
      <c r="H17" s="58"/>
      <c r="I17" s="58"/>
      <c r="J17" s="58"/>
      <c r="K17" s="58"/>
      <c r="L17" s="58"/>
    </row>
    <row r="18" spans="1:12" ht="14.25" x14ac:dyDescent="0.2">
      <c r="A18" s="58"/>
      <c r="B18" s="62"/>
      <c r="C18" s="62"/>
      <c r="D18" s="62" t="str">
        <f>'TABLES 54B'!B42</f>
        <v xml:space="preserve">High Sulphur Fuel Oil </v>
      </c>
      <c r="E18" s="233">
        <f ca="1">'TABLES 54B'!J50</f>
        <v>0</v>
      </c>
      <c r="F18" s="233"/>
      <c r="G18" s="63" t="s">
        <v>89</v>
      </c>
      <c r="H18" s="58"/>
      <c r="I18" s="58"/>
      <c r="J18" s="58"/>
      <c r="K18" s="58"/>
      <c r="L18" s="58"/>
    </row>
    <row r="19" spans="1:12" ht="14.25" x14ac:dyDescent="0.2">
      <c r="A19" s="58"/>
      <c r="B19" s="62"/>
      <c r="C19" s="62"/>
      <c r="D19" s="62" t="str">
        <f>'TABLES 54B'!B51</f>
        <v xml:space="preserve">Low Sulpher Marine Gas Oil </v>
      </c>
      <c r="E19" s="233">
        <f>'TABLES 54B'!J63</f>
        <v>101.592</v>
      </c>
      <c r="F19" s="233"/>
      <c r="G19" s="63" t="s">
        <v>89</v>
      </c>
      <c r="H19" s="58"/>
      <c r="I19" s="58"/>
      <c r="J19" s="58"/>
      <c r="K19" s="58"/>
      <c r="L19" s="58"/>
    </row>
    <row r="20" spans="1:12" ht="14.25" x14ac:dyDescent="0.2">
      <c r="A20" s="58"/>
      <c r="B20" s="58"/>
      <c r="C20" s="232"/>
      <c r="D20" s="232"/>
      <c r="E20" s="58"/>
      <c r="F20" s="58"/>
      <c r="G20" s="58"/>
      <c r="H20" s="58"/>
      <c r="I20" s="58"/>
      <c r="J20" s="58"/>
      <c r="K20" s="58"/>
      <c r="L20" s="58"/>
    </row>
    <row r="21" spans="1:12" x14ac:dyDescent="0.2">
      <c r="A21" s="234" t="s">
        <v>90</v>
      </c>
      <c r="B21" s="234"/>
      <c r="C21" s="234"/>
      <c r="D21" s="234"/>
      <c r="E21" s="234"/>
      <c r="F21" s="234"/>
      <c r="G21" s="234"/>
      <c r="H21" s="234"/>
      <c r="I21" s="234"/>
      <c r="J21" s="234"/>
      <c r="K21" s="234"/>
      <c r="L21" s="234"/>
    </row>
    <row r="22" spans="1:12" ht="14.25" x14ac:dyDescent="0.2">
      <c r="A22" s="58"/>
      <c r="B22" s="58"/>
      <c r="C22" s="58"/>
      <c r="D22" s="58"/>
      <c r="E22" s="58"/>
      <c r="F22" s="58"/>
      <c r="G22" s="58"/>
      <c r="H22" s="58"/>
      <c r="I22" s="58"/>
      <c r="J22" s="58"/>
      <c r="K22" s="58"/>
      <c r="L22" s="58"/>
    </row>
    <row r="23" spans="1:12" ht="14.25" x14ac:dyDescent="0.2">
      <c r="A23" s="62"/>
      <c r="B23" s="62"/>
      <c r="C23" s="62"/>
      <c r="D23" s="62" t="str">
        <f>D17</f>
        <v xml:space="preserve">Very Low Sulpher Fuel Oil </v>
      </c>
      <c r="E23" s="235" t="str">
        <f>'SHIP DETAILS'!G4</f>
        <v>As per Master's Report</v>
      </c>
      <c r="F23" s="235"/>
      <c r="G23" s="235"/>
      <c r="H23" s="64"/>
      <c r="I23" s="64"/>
      <c r="J23" s="58"/>
      <c r="K23" s="58"/>
      <c r="L23" s="58"/>
    </row>
    <row r="24" spans="1:12" ht="14.25" x14ac:dyDescent="0.2">
      <c r="A24" s="62"/>
      <c r="B24" s="62"/>
      <c r="C24" s="62"/>
      <c r="D24" s="62" t="str">
        <f>D18</f>
        <v xml:space="preserve">High Sulphur Fuel Oil </v>
      </c>
      <c r="E24" s="235" t="str">
        <f>'SHIP DETAILS'!G5</f>
        <v>As per Master's Report</v>
      </c>
      <c r="F24" s="235"/>
      <c r="G24" s="235"/>
      <c r="H24" s="64"/>
      <c r="I24" s="64"/>
      <c r="J24" s="58"/>
      <c r="K24" s="58"/>
      <c r="L24" s="58"/>
    </row>
    <row r="25" spans="1:12" ht="14.25" x14ac:dyDescent="0.2">
      <c r="A25" s="62"/>
      <c r="B25" s="62"/>
      <c r="C25" s="62"/>
      <c r="D25" s="62" t="str">
        <f>D19</f>
        <v xml:space="preserve">Low Sulpher Marine Gas Oil </v>
      </c>
      <c r="E25" s="235" t="str">
        <f>'SHIP DETAILS'!G6</f>
        <v>As per Master's Report</v>
      </c>
      <c r="F25" s="235"/>
      <c r="G25" s="235"/>
      <c r="H25" s="64"/>
      <c r="I25" s="64"/>
      <c r="J25" s="58"/>
      <c r="K25" s="58"/>
      <c r="L25" s="58"/>
    </row>
    <row r="26" spans="1:12" ht="14.25" x14ac:dyDescent="0.2">
      <c r="A26" s="58"/>
      <c r="B26" s="58"/>
      <c r="C26" s="58"/>
      <c r="D26" s="58"/>
      <c r="E26" s="58"/>
      <c r="F26" s="58"/>
      <c r="G26" s="58"/>
      <c r="H26" s="58"/>
      <c r="I26" s="58"/>
      <c r="J26" s="58"/>
      <c r="K26" s="58"/>
      <c r="L26" s="58"/>
    </row>
    <row r="27" spans="1:12" ht="14.25" x14ac:dyDescent="0.2">
      <c r="A27" s="232" t="s">
        <v>91</v>
      </c>
      <c r="B27" s="232"/>
      <c r="C27" s="232"/>
      <c r="D27" s="232"/>
      <c r="E27" s="232"/>
      <c r="F27" s="232"/>
      <c r="G27" s="232"/>
      <c r="H27" s="232"/>
      <c r="I27" s="232"/>
      <c r="J27" s="58"/>
      <c r="K27" s="58"/>
      <c r="L27" s="58"/>
    </row>
    <row r="28" spans="1:12" ht="14.25" x14ac:dyDescent="0.2">
      <c r="A28" s="232"/>
      <c r="B28" s="232"/>
      <c r="C28" s="232"/>
      <c r="D28" s="232"/>
      <c r="E28" s="232"/>
      <c r="F28" s="232"/>
      <c r="G28" s="232"/>
      <c r="H28" s="232"/>
      <c r="I28" s="232"/>
      <c r="J28" s="58"/>
      <c r="K28" s="58"/>
      <c r="L28" s="58"/>
    </row>
    <row r="29" spans="1:12" ht="14.25" x14ac:dyDescent="0.2">
      <c r="A29" s="62"/>
      <c r="B29" s="62"/>
      <c r="C29" s="62"/>
      <c r="D29" s="62" t="str">
        <f>D17</f>
        <v xml:space="preserve">Very Low Sulpher Fuel Oil </v>
      </c>
      <c r="E29" s="235" t="str">
        <f>'SHIP DETAILS'!G4</f>
        <v>As per Master's Report</v>
      </c>
      <c r="F29" s="235"/>
      <c r="G29" s="235"/>
      <c r="H29" s="65"/>
      <c r="I29" s="65"/>
      <c r="J29" s="58"/>
      <c r="K29" s="58"/>
      <c r="L29" s="58"/>
    </row>
    <row r="30" spans="1:12" ht="14.25" x14ac:dyDescent="0.2">
      <c r="A30" s="62"/>
      <c r="B30" s="62"/>
      <c r="C30" s="62"/>
      <c r="D30" s="62" t="str">
        <f>D18</f>
        <v xml:space="preserve">High Sulphur Fuel Oil </v>
      </c>
      <c r="E30" s="235" t="str">
        <f>'SHIP DETAILS'!G5</f>
        <v>As per Master's Report</v>
      </c>
      <c r="F30" s="235"/>
      <c r="G30" s="235"/>
      <c r="H30" s="65"/>
      <c r="I30" s="65"/>
      <c r="J30" s="58"/>
      <c r="K30" s="58"/>
      <c r="L30" s="58"/>
    </row>
    <row r="31" spans="1:12" ht="14.25" x14ac:dyDescent="0.2">
      <c r="A31" s="62"/>
      <c r="B31" s="62"/>
      <c r="C31" s="62"/>
      <c r="D31" s="62" t="str">
        <f>D19</f>
        <v xml:space="preserve">Low Sulpher Marine Gas Oil </v>
      </c>
      <c r="E31" s="235" t="str">
        <f>'SHIP DETAILS'!G6</f>
        <v>As per Master's Report</v>
      </c>
      <c r="F31" s="235"/>
      <c r="G31" s="235"/>
      <c r="H31" s="65"/>
      <c r="I31" s="65"/>
      <c r="J31" s="58"/>
      <c r="K31" s="58"/>
      <c r="L31" s="58"/>
    </row>
    <row r="32" spans="1:12" ht="14.25" x14ac:dyDescent="0.2">
      <c r="A32" s="62"/>
      <c r="B32" s="62"/>
      <c r="C32" s="62"/>
      <c r="D32" s="62"/>
      <c r="E32" s="65"/>
      <c r="F32" s="62"/>
      <c r="G32" s="58"/>
      <c r="H32" s="58"/>
      <c r="I32" s="58"/>
      <c r="J32" s="58"/>
      <c r="K32" s="58"/>
      <c r="L32" s="58"/>
    </row>
    <row r="33" spans="1:12" ht="21" customHeight="1" x14ac:dyDescent="0.2">
      <c r="A33" s="66" t="s">
        <v>92</v>
      </c>
      <c r="B33" s="231" t="s">
        <v>97</v>
      </c>
      <c r="C33" s="231"/>
      <c r="D33" s="231"/>
      <c r="E33" s="231"/>
      <c r="F33" s="231"/>
      <c r="G33" s="231"/>
      <c r="H33" s="231"/>
      <c r="I33" s="231"/>
      <c r="J33" s="231"/>
      <c r="K33" s="231"/>
      <c r="L33" s="231"/>
    </row>
    <row r="34" spans="1:12" x14ac:dyDescent="0.2">
      <c r="A34" s="66"/>
      <c r="B34" s="61"/>
      <c r="C34" s="61"/>
      <c r="D34" s="61"/>
      <c r="E34" s="61"/>
      <c r="F34" s="61"/>
      <c r="G34" s="61"/>
      <c r="H34" s="61"/>
      <c r="I34" s="61"/>
      <c r="J34" s="61"/>
      <c r="K34" s="61"/>
      <c r="L34" s="61"/>
    </row>
    <row r="35" spans="1:12" ht="14.25" x14ac:dyDescent="0.2">
      <c r="A35" s="35" t="s">
        <v>69</v>
      </c>
      <c r="B35" s="58"/>
      <c r="C35" s="58"/>
      <c r="D35" s="58"/>
      <c r="E35" s="58"/>
      <c r="F35" s="58"/>
      <c r="H35" s="35" t="s">
        <v>69</v>
      </c>
      <c r="I35" s="58"/>
      <c r="J35" s="58"/>
      <c r="K35" s="58"/>
      <c r="L35" s="58"/>
    </row>
    <row r="36" spans="1:12" ht="14.25" x14ac:dyDescent="0.2">
      <c r="A36" s="238" t="str">
        <f>'SHIP DETAILS'!C9</f>
        <v>PRAYAN SHIPPING INC</v>
      </c>
      <c r="B36" s="238"/>
      <c r="C36" s="238"/>
      <c r="D36" s="238"/>
      <c r="E36" s="58"/>
      <c r="F36" s="58"/>
      <c r="H36" s="56" t="str">
        <f>'SHIP DETAILS'!C10</f>
        <v>DAVA PTE. LTD</v>
      </c>
      <c r="I36" s="56"/>
      <c r="J36" s="56"/>
      <c r="K36" s="58"/>
      <c r="L36" s="58"/>
    </row>
    <row r="37" spans="1:12" ht="14.25" x14ac:dyDescent="0.2">
      <c r="A37" s="58"/>
      <c r="B37" s="58"/>
      <c r="C37" s="58"/>
      <c r="D37" s="58"/>
      <c r="E37" s="58"/>
      <c r="F37" s="58"/>
      <c r="G37" s="240"/>
      <c r="H37" s="240"/>
      <c r="I37" s="240"/>
      <c r="J37" s="240"/>
      <c r="K37" s="240"/>
      <c r="L37" s="58"/>
    </row>
    <row r="38" spans="1:12" ht="14.25" x14ac:dyDescent="0.2">
      <c r="A38" s="58"/>
      <c r="B38" s="58"/>
      <c r="C38" s="58"/>
      <c r="D38" s="58"/>
      <c r="E38" s="58"/>
      <c r="F38" s="58"/>
      <c r="G38" s="58"/>
      <c r="H38" s="58"/>
      <c r="I38" s="58"/>
      <c r="J38" s="58"/>
      <c r="K38" s="58"/>
      <c r="L38" s="58"/>
    </row>
    <row r="39" spans="1:12" ht="14.25" x14ac:dyDescent="0.2">
      <c r="A39" s="58"/>
      <c r="B39" s="58"/>
      <c r="C39" s="58"/>
      <c r="D39" s="58"/>
      <c r="E39" s="58"/>
      <c r="F39" s="58"/>
      <c r="G39" s="58"/>
      <c r="H39" s="58"/>
      <c r="I39" s="58"/>
      <c r="J39" s="58"/>
      <c r="K39" s="58"/>
      <c r="L39" s="58"/>
    </row>
    <row r="40" spans="1:12" ht="14.25" x14ac:dyDescent="0.2">
      <c r="A40" s="68"/>
      <c r="B40" s="58"/>
      <c r="C40" s="58"/>
      <c r="D40" s="58"/>
      <c r="E40" s="58"/>
      <c r="F40" s="58"/>
      <c r="G40" s="231"/>
      <c r="H40" s="231"/>
      <c r="I40" s="231"/>
      <c r="J40" s="231"/>
      <c r="K40" s="231"/>
      <c r="L40" s="231"/>
    </row>
    <row r="41" spans="1:12" ht="14.25" x14ac:dyDescent="0.2">
      <c r="A41" s="239"/>
      <c r="B41" s="239"/>
      <c r="C41" s="239"/>
      <c r="D41" s="67"/>
      <c r="E41" s="58"/>
      <c r="F41" s="58"/>
      <c r="G41" s="58"/>
      <c r="H41" s="67"/>
      <c r="I41" s="67"/>
      <c r="J41" s="67"/>
      <c r="K41" s="67"/>
      <c r="L41" s="58"/>
    </row>
    <row r="42" spans="1:12" ht="14.25" x14ac:dyDescent="0.2">
      <c r="A42" s="230" t="s">
        <v>41</v>
      </c>
      <c r="B42" s="230"/>
      <c r="C42" s="230"/>
      <c r="D42" s="230"/>
      <c r="E42" s="58"/>
      <c r="F42" s="58"/>
      <c r="G42" s="46"/>
      <c r="H42" s="69" t="s">
        <v>49</v>
      </c>
      <c r="I42" s="69"/>
      <c r="J42" s="69"/>
      <c r="K42" s="45" t="s">
        <v>49</v>
      </c>
      <c r="L42" s="58"/>
    </row>
    <row r="43" spans="1:12" ht="14.25" x14ac:dyDescent="0.2">
      <c r="A43" s="71" t="str">
        <f>'TABLES 54B'!B75</f>
        <v>Capt. KAMAL PANDEY</v>
      </c>
      <c r="B43" s="58"/>
      <c r="C43" s="58"/>
      <c r="D43" s="58"/>
      <c r="E43" s="58"/>
      <c r="F43" s="58"/>
      <c r="G43" s="37"/>
      <c r="H43" s="37" t="str">
        <f>'TABLES 54B'!G79</f>
        <v>For YMR MARINE SOLUTIONS LLP</v>
      </c>
      <c r="I43" s="37"/>
      <c r="J43" s="37"/>
      <c r="K43" s="37" t="s">
        <v>50</v>
      </c>
      <c r="L43" s="58"/>
    </row>
    <row r="44" spans="1:12" ht="14.25" x14ac:dyDescent="0.2">
      <c r="A44" s="34"/>
      <c r="B44" s="34"/>
      <c r="C44" s="34"/>
      <c r="D44" s="34"/>
      <c r="E44" s="34"/>
      <c r="F44" s="34"/>
      <c r="G44" s="37"/>
      <c r="H44" s="37" t="str">
        <f>'TABLES 54B'!G80</f>
        <v>Mr. ASHOK JANAPALA</v>
      </c>
      <c r="I44" s="37"/>
      <c r="J44" s="37"/>
      <c r="K44" s="37" t="e">
        <f>CONCATENATE("Mr. ",'SHIP DETAILS'!#REF!,"")</f>
        <v>#REF!</v>
      </c>
      <c r="L44" s="34"/>
    </row>
    <row r="45" spans="1:12" x14ac:dyDescent="0.2">
      <c r="A45" s="34"/>
      <c r="B45" s="34"/>
      <c r="C45" s="34"/>
      <c r="D45" s="34"/>
      <c r="E45" s="34"/>
      <c r="F45" s="34"/>
      <c r="G45" s="34"/>
      <c r="H45" s="34"/>
      <c r="I45" s="34"/>
      <c r="J45" s="34"/>
      <c r="K45" s="34"/>
      <c r="L45" s="34"/>
    </row>
    <row r="47" spans="1:12" x14ac:dyDescent="0.2">
      <c r="A47" s="70"/>
      <c r="B47" s="70"/>
      <c r="C47" s="70"/>
      <c r="D47" s="70"/>
    </row>
    <row r="48" spans="1:12" x14ac:dyDescent="0.2">
      <c r="A48" s="46" t="s">
        <v>48</v>
      </c>
    </row>
    <row r="49" spans="1:1" ht="14.25" x14ac:dyDescent="0.2">
      <c r="A49" s="37" t="str">
        <f>'TABLES 54B'!B80</f>
        <v>Mr. MUKESH KUMAR</v>
      </c>
    </row>
  </sheetData>
  <sheetProtection algorithmName="SHA-512" hashValue="4IItdFrVhc5M6XheCC0ZVw/u3Vdi6shF+DEGJNzs/KOZbQg5r+PlUpyzDgFgpGPox0qHAP455szLapNZA77eMQ==" saltValue="cR0cYEhETdaRxnruH4Wh1w==" spinCount="100000" sheet="1" objects="1" scenarios="1"/>
  <mergeCells count="32">
    <mergeCell ref="A11:B11"/>
    <mergeCell ref="A16:L16"/>
    <mergeCell ref="E17:F17"/>
    <mergeCell ref="A36:D36"/>
    <mergeCell ref="A41:C41"/>
    <mergeCell ref="G37:K37"/>
    <mergeCell ref="A12:D12"/>
    <mergeCell ref="A14:L15"/>
    <mergeCell ref="E12:H12"/>
    <mergeCell ref="A42:D42"/>
    <mergeCell ref="B33:L33"/>
    <mergeCell ref="A27:I27"/>
    <mergeCell ref="A28:I28"/>
    <mergeCell ref="E18:F18"/>
    <mergeCell ref="E19:F19"/>
    <mergeCell ref="G40:L40"/>
    <mergeCell ref="C20:D20"/>
    <mergeCell ref="A21:L21"/>
    <mergeCell ref="E23:G23"/>
    <mergeCell ref="E24:G24"/>
    <mergeCell ref="E25:G25"/>
    <mergeCell ref="E29:G29"/>
    <mergeCell ref="E30:G30"/>
    <mergeCell ref="E31:G31"/>
    <mergeCell ref="A1:L4"/>
    <mergeCell ref="A8:C8"/>
    <mergeCell ref="A9:C9"/>
    <mergeCell ref="A10:C10"/>
    <mergeCell ref="D8:G8"/>
    <mergeCell ref="A6:L6"/>
    <mergeCell ref="D9:G9"/>
    <mergeCell ref="D10:G10"/>
  </mergeCells>
  <pageMargins left="0.7" right="0.7" top="0.75" bottom="0.75" header="0.3" footer="0.3"/>
  <pageSetup scale="85"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D67A5-EE00-48C9-80B6-F41617518A03}">
  <dimension ref="D4:E11"/>
  <sheetViews>
    <sheetView zoomScale="190" zoomScaleNormal="190" workbookViewId="0">
      <selection activeCell="G12" sqref="G12"/>
    </sheetView>
  </sheetViews>
  <sheetFormatPr defaultRowHeight="13.5" x14ac:dyDescent="0.2"/>
  <sheetData>
    <row r="4" spans="4:5" x14ac:dyDescent="0.2">
      <c r="D4" s="245"/>
      <c r="E4" s="245"/>
    </row>
    <row r="5" spans="4:5" x14ac:dyDescent="0.2">
      <c r="D5" s="245"/>
      <c r="E5" s="245"/>
    </row>
    <row r="6" spans="4:5" x14ac:dyDescent="0.2">
      <c r="D6" s="245"/>
      <c r="E6" s="245"/>
    </row>
    <row r="7" spans="4:5" x14ac:dyDescent="0.2">
      <c r="D7" s="245"/>
      <c r="E7" s="245"/>
    </row>
    <row r="8" spans="4:5" x14ac:dyDescent="0.2">
      <c r="D8" s="245"/>
      <c r="E8" s="245"/>
    </row>
    <row r="9" spans="4:5" x14ac:dyDescent="0.2">
      <c r="D9" s="245"/>
      <c r="E9" s="245"/>
    </row>
    <row r="10" spans="4:5" x14ac:dyDescent="0.2">
      <c r="D10" s="245"/>
      <c r="E10" s="245"/>
    </row>
    <row r="11" spans="4:5" x14ac:dyDescent="0.2">
      <c r="D11" s="245"/>
      <c r="E11" s="245"/>
    </row>
  </sheetData>
  <mergeCells count="1">
    <mergeCell ref="D4:E1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303E5-3759-4FEB-A23B-B7201052741E}">
  <dimension ref="B1:I25"/>
  <sheetViews>
    <sheetView zoomScaleNormal="100" workbookViewId="0">
      <selection activeCell="K24" sqref="K24"/>
    </sheetView>
  </sheetViews>
  <sheetFormatPr defaultColWidth="8.99609375" defaultRowHeight="12.75" x14ac:dyDescent="0.15"/>
  <cols>
    <col min="1" max="1" width="2.62109375" style="1" customWidth="1"/>
    <col min="2" max="2" width="16.62109375" style="1" customWidth="1"/>
    <col min="3" max="3" width="4.24609375" style="1" customWidth="1"/>
    <col min="4" max="5" width="17.99609375" style="1" bestFit="1" customWidth="1"/>
    <col min="6" max="6" width="16.99609375" style="1" customWidth="1"/>
    <col min="7" max="16384" width="8.99609375" style="1"/>
  </cols>
  <sheetData>
    <row r="1" spans="2:9" ht="28.5" customHeight="1" x14ac:dyDescent="0.35">
      <c r="D1" s="246" t="s">
        <v>1</v>
      </c>
      <c r="E1" s="246"/>
      <c r="F1" s="246"/>
      <c r="G1" s="247"/>
      <c r="H1" s="247"/>
      <c r="I1" s="247"/>
    </row>
    <row r="3" spans="2:9" ht="31.5" x14ac:dyDescent="0.35">
      <c r="C3" s="2"/>
      <c r="D3" s="38">
        <v>2</v>
      </c>
      <c r="E3" s="3">
        <v>2.1</v>
      </c>
      <c r="F3" s="38">
        <v>3</v>
      </c>
    </row>
    <row r="4" spans="2:9" ht="39" customHeight="1" thickBot="1" x14ac:dyDescent="0.4">
      <c r="B4" s="32" t="s">
        <v>2</v>
      </c>
      <c r="C4" s="2"/>
      <c r="D4" s="2"/>
      <c r="E4" s="2"/>
      <c r="F4" s="2"/>
    </row>
    <row r="5" spans="2:9" ht="32.25" thickBot="1" x14ac:dyDescent="0.4">
      <c r="B5" s="39">
        <v>14.2</v>
      </c>
      <c r="C5" s="4"/>
      <c r="D5" s="5">
        <v>86.1</v>
      </c>
      <c r="E5" s="6">
        <f>D5+((F5-D5)/((F3-D3)/(E3-D3)))</f>
        <v>85.21</v>
      </c>
      <c r="F5" s="7">
        <v>77.2</v>
      </c>
    </row>
    <row r="6" spans="2:9" ht="32.25" thickBot="1" x14ac:dyDescent="0.4">
      <c r="B6" s="40">
        <v>14.24</v>
      </c>
      <c r="C6" s="4"/>
      <c r="D6" s="8">
        <f>(((B6-B5)/(B7-B5))*(D7-D5))+D5</f>
        <v>86.314999999999998</v>
      </c>
      <c r="E6" s="9">
        <f>((E7-E5)*((B6-B5)/(B7-B5))+E5)</f>
        <v>85.424999999999997</v>
      </c>
      <c r="F6" s="10">
        <f>(((B6-B5)/(B7-B5))*(F7-F5))+F5</f>
        <v>77.41</v>
      </c>
    </row>
    <row r="7" spans="2:9" ht="32.25" thickBot="1" x14ac:dyDescent="0.4">
      <c r="B7" s="39">
        <v>15</v>
      </c>
      <c r="C7" s="11"/>
      <c r="D7" s="12">
        <v>90.4</v>
      </c>
      <c r="E7" s="13">
        <f>D7+((F7-D7))/((F3-D3)/(E3-D3))</f>
        <v>89.5</v>
      </c>
      <c r="F7" s="14">
        <v>81.400000000000006</v>
      </c>
    </row>
    <row r="8" spans="2:9" ht="20.25" customHeight="1" thickBot="1" x14ac:dyDescent="0.2"/>
    <row r="9" spans="2:9" ht="13.5" thickBot="1" x14ac:dyDescent="0.2">
      <c r="D9" s="248" t="s">
        <v>3</v>
      </c>
      <c r="E9" s="249"/>
      <c r="F9" s="250"/>
    </row>
    <row r="10" spans="2:9" ht="13.5" thickBot="1" x14ac:dyDescent="0.2">
      <c r="D10" s="15" t="s">
        <v>39</v>
      </c>
      <c r="E10" s="16" t="s">
        <v>4</v>
      </c>
      <c r="F10" s="17"/>
    </row>
    <row r="11" spans="2:9" s="18" customFormat="1" ht="14.25" x14ac:dyDescent="0.15">
      <c r="D11" s="41">
        <v>0.90069999999999995</v>
      </c>
      <c r="E11" s="41">
        <v>0.27</v>
      </c>
      <c r="F11" s="19">
        <f>D11*E11</f>
        <v>0.24318899999999999</v>
      </c>
    </row>
    <row r="12" spans="2:9" s="18" customFormat="1" ht="14.25" x14ac:dyDescent="0.15">
      <c r="D12" s="42">
        <v>0.88100000000000001</v>
      </c>
      <c r="E12" s="42">
        <v>9.6999999999999993</v>
      </c>
      <c r="F12" s="20">
        <f>D12*E12</f>
        <v>8.5457000000000001</v>
      </c>
    </row>
    <row r="13" spans="2:9" s="18" customFormat="1" ht="15" thickBot="1" x14ac:dyDescent="0.2">
      <c r="D13" s="21"/>
      <c r="E13" s="21">
        <f>SUM(E11:E12)</f>
        <v>9.9700000000000006</v>
      </c>
      <c r="F13" s="22">
        <f>SUM(F11:F12)</f>
        <v>8.7888889999999993</v>
      </c>
    </row>
    <row r="14" spans="2:9" s="18" customFormat="1" ht="15" thickBot="1" x14ac:dyDescent="0.2">
      <c r="D14" s="251" t="s">
        <v>40</v>
      </c>
      <c r="E14" s="252"/>
      <c r="F14" s="23">
        <f>F13/E13</f>
        <v>0.88153350050150403</v>
      </c>
    </row>
    <row r="17" spans="2:9" x14ac:dyDescent="0.15">
      <c r="B17" s="254" t="s">
        <v>34</v>
      </c>
      <c r="C17" s="254"/>
      <c r="D17" s="254"/>
      <c r="E17" s="254"/>
      <c r="F17" s="254"/>
      <c r="G17" s="254"/>
    </row>
    <row r="19" spans="2:9" x14ac:dyDescent="0.15">
      <c r="B19" s="24">
        <v>35</v>
      </c>
      <c r="C19" s="247" t="s">
        <v>31</v>
      </c>
      <c r="D19" s="247"/>
      <c r="E19" s="247"/>
      <c r="F19" s="25" t="s">
        <v>5</v>
      </c>
      <c r="G19" s="247"/>
      <c r="H19" s="247"/>
      <c r="I19" s="247"/>
    </row>
    <row r="20" spans="2:9" x14ac:dyDescent="0.15">
      <c r="B20" s="26">
        <v>15</v>
      </c>
      <c r="C20" s="247" t="s">
        <v>32</v>
      </c>
      <c r="D20" s="247"/>
      <c r="E20" s="247"/>
      <c r="F20" s="27" t="s">
        <v>6</v>
      </c>
    </row>
    <row r="21" spans="2:9" x14ac:dyDescent="0.15">
      <c r="B21" s="24">
        <f>B19-B20</f>
        <v>20</v>
      </c>
      <c r="C21" s="247" t="s">
        <v>33</v>
      </c>
      <c r="D21" s="247"/>
    </row>
    <row r="22" spans="2:9" ht="13.5" thickBot="1" x14ac:dyDescent="0.2"/>
    <row r="23" spans="2:9" ht="13.5" thickBot="1" x14ac:dyDescent="0.2">
      <c r="B23" s="1">
        <v>6.29E-4</v>
      </c>
      <c r="C23" s="28" t="s">
        <v>7</v>
      </c>
      <c r="D23" s="29">
        <f>B21</f>
        <v>20</v>
      </c>
      <c r="E23" s="30">
        <f>B23*D23</f>
        <v>1.2579999999999999E-2</v>
      </c>
    </row>
    <row r="24" spans="2:9" ht="13.5" thickBot="1" x14ac:dyDescent="0.2">
      <c r="E24" s="43">
        <v>0.85450000000000004</v>
      </c>
      <c r="F24" s="253" t="s">
        <v>74</v>
      </c>
      <c r="G24" s="247"/>
      <c r="H24" s="247"/>
    </row>
    <row r="25" spans="2:9" ht="15" thickBot="1" x14ac:dyDescent="0.2">
      <c r="E25" s="31">
        <f>SUM(E23:E24)</f>
        <v>0.86707999999999996</v>
      </c>
      <c r="F25" s="247" t="s">
        <v>35</v>
      </c>
      <c r="G25" s="247"/>
      <c r="H25" s="247"/>
    </row>
  </sheetData>
  <mergeCells count="11">
    <mergeCell ref="D1:F1"/>
    <mergeCell ref="G1:I1"/>
    <mergeCell ref="D9:F9"/>
    <mergeCell ref="D14:E14"/>
    <mergeCell ref="F25:H25"/>
    <mergeCell ref="C21:D21"/>
    <mergeCell ref="F24:H24"/>
    <mergeCell ref="B17:G17"/>
    <mergeCell ref="C19:E19"/>
    <mergeCell ref="G19:I19"/>
    <mergeCell ref="C20:E20"/>
  </mergeCells>
  <phoneticPr fontId="14" type="noConversion"/>
  <printOptions horizontalCentered="1" verticalCentered="1"/>
  <pageMargins left="0.74803149606299213" right="0.74803149606299213" top="0.98425196850393704" bottom="0.98425196850393704" header="0.51181102362204722" footer="0.51181102362204722"/>
  <pageSetup paperSize="9" orientation="portrait" r:id="rId1"/>
  <headerFooter alignWithMargins="0">
    <oddHeader>&amp;L&amp;G</oddHead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819CE-AE85-46C4-9D91-1F45E8BD7CF8}">
  <dimension ref="A1:B45"/>
  <sheetViews>
    <sheetView topLeftCell="A25" workbookViewId="0">
      <selection activeCell="B34" sqref="B34"/>
    </sheetView>
  </sheetViews>
  <sheetFormatPr defaultRowHeight="15" x14ac:dyDescent="0.2"/>
  <cols>
    <col min="1" max="1" width="21.37109375" bestFit="1" customWidth="1"/>
    <col min="2" max="2" width="29.8671875" style="79" bestFit="1" customWidth="1"/>
  </cols>
  <sheetData>
    <row r="1" spans="1:2" x14ac:dyDescent="0.2">
      <c r="A1" s="76" t="s">
        <v>103</v>
      </c>
      <c r="B1" s="82"/>
    </row>
    <row r="2" spans="1:2" x14ac:dyDescent="0.2">
      <c r="A2" s="76" t="s">
        <v>129</v>
      </c>
      <c r="B2" s="82"/>
    </row>
    <row r="3" spans="1:2" x14ac:dyDescent="0.2">
      <c r="A3" s="76" t="s">
        <v>102</v>
      </c>
      <c r="B3" s="81" t="str">
        <f>'SHIP DETAILS'!C2</f>
        <v>MV. RISHABH</v>
      </c>
    </row>
    <row r="4" spans="1:2" x14ac:dyDescent="0.2">
      <c r="A4" s="76" t="s">
        <v>105</v>
      </c>
      <c r="B4" s="81" t="str">
        <f>'SHIP DETAILS'!C8</f>
        <v>15 L</v>
      </c>
    </row>
    <row r="5" spans="1:2" x14ac:dyDescent="0.2">
      <c r="A5" s="76" t="s">
        <v>99</v>
      </c>
      <c r="B5" s="81">
        <f>'SHIP DETAILS'!C3</f>
        <v>9324578</v>
      </c>
    </row>
    <row r="6" spans="1:2" x14ac:dyDescent="0.2">
      <c r="A6" s="76" t="s">
        <v>77</v>
      </c>
      <c r="B6" s="81">
        <f>'SHIP DETAILS'!C6</f>
        <v>34512</v>
      </c>
    </row>
    <row r="7" spans="1:2" x14ac:dyDescent="0.2">
      <c r="A7" s="76" t="s">
        <v>144</v>
      </c>
      <c r="B7" s="81" t="str">
        <f>'SHIP DETAILS'!C5</f>
        <v>MAJURO</v>
      </c>
    </row>
    <row r="8" spans="1:2" x14ac:dyDescent="0.2">
      <c r="A8" s="76" t="s">
        <v>107</v>
      </c>
      <c r="B8" s="82"/>
    </row>
    <row r="9" spans="1:2" x14ac:dyDescent="0.2">
      <c r="A9" s="76" t="s">
        <v>151</v>
      </c>
      <c r="B9" s="81"/>
    </row>
    <row r="10" spans="1:2" x14ac:dyDescent="0.2">
      <c r="A10" s="76" t="s">
        <v>120</v>
      </c>
      <c r="B10" s="81">
        <v>5</v>
      </c>
    </row>
    <row r="11" spans="1:2" x14ac:dyDescent="0.2">
      <c r="A11" s="76" t="s">
        <v>121</v>
      </c>
      <c r="B11" s="81" t="str">
        <f>'SHIP DETAILS'!C23</f>
        <v>MAY</v>
      </c>
    </row>
    <row r="12" spans="1:2" x14ac:dyDescent="0.2">
      <c r="A12" s="76" t="s">
        <v>122</v>
      </c>
      <c r="B12" s="81">
        <f>'SHIP DETAILS'!C24</f>
        <v>2015</v>
      </c>
    </row>
    <row r="13" spans="1:2" x14ac:dyDescent="0.2">
      <c r="A13" s="76" t="s">
        <v>132</v>
      </c>
      <c r="B13" s="84" t="str">
        <f>'SHIP DETAILS'!C32</f>
        <v>NKK</v>
      </c>
    </row>
    <row r="14" spans="1:2" x14ac:dyDescent="0.2">
      <c r="A14" s="76" t="s">
        <v>153</v>
      </c>
      <c r="B14" s="81" t="str">
        <f>'SHIP DETAILS'!C26</f>
        <v>V75A45</v>
      </c>
    </row>
    <row r="15" spans="1:2" x14ac:dyDescent="0.2">
      <c r="A15" s="76" t="s">
        <v>154</v>
      </c>
      <c r="B15" s="81">
        <f>'SHIP DETAILS'!C27</f>
        <v>190.9</v>
      </c>
    </row>
    <row r="16" spans="1:2" x14ac:dyDescent="0.2">
      <c r="A16" s="76" t="s">
        <v>155</v>
      </c>
      <c r="B16" s="81">
        <f>'SHIP DETAILS'!C28</f>
        <v>32.26</v>
      </c>
    </row>
    <row r="17" spans="1:2" x14ac:dyDescent="0.2">
      <c r="A17" s="76" t="s">
        <v>156</v>
      </c>
      <c r="B17" s="86">
        <f>'SHIP DETAILS'!C29</f>
        <v>18.2</v>
      </c>
    </row>
    <row r="18" spans="1:2" x14ac:dyDescent="0.2">
      <c r="A18" s="76" t="s">
        <v>125</v>
      </c>
      <c r="B18" s="81">
        <f>'SHIP DETAILS'!C30</f>
        <v>12.2</v>
      </c>
    </row>
    <row r="19" spans="1:2" x14ac:dyDescent="0.2">
      <c r="A19" s="76" t="s">
        <v>126</v>
      </c>
      <c r="B19" s="81">
        <f>'SHIP DETAILS'!C31</f>
        <v>51874</v>
      </c>
    </row>
    <row r="20" spans="1:2" x14ac:dyDescent="0.2">
      <c r="A20" s="76" t="s">
        <v>104</v>
      </c>
      <c r="B20" s="85" t="str">
        <f>'SHIP DETAILS'!C10</f>
        <v>DAVA PTE. LTD</v>
      </c>
    </row>
    <row r="21" spans="1:2" x14ac:dyDescent="0.2">
      <c r="A21" s="76" t="s">
        <v>109</v>
      </c>
      <c r="B21" s="85" t="str">
        <f>'SHIP DETAILS'!C9</f>
        <v>PRAYAN SHIPPING INC</v>
      </c>
    </row>
    <row r="22" spans="1:2" x14ac:dyDescent="0.2">
      <c r="A22" s="76" t="s">
        <v>152</v>
      </c>
      <c r="B22" s="85" t="str">
        <f>'SHIP DETAILS'!C22</f>
        <v>SOME BUILDER NAME</v>
      </c>
    </row>
    <row r="23" spans="1:2" x14ac:dyDescent="0.2">
      <c r="A23" s="76" t="s">
        <v>113</v>
      </c>
      <c r="B23" s="85" t="str">
        <f>'SHIP DETAILS'!C17</f>
        <v>KAMAL PANDEY</v>
      </c>
    </row>
    <row r="24" spans="1:2" x14ac:dyDescent="0.2">
      <c r="A24" s="76" t="s">
        <v>147</v>
      </c>
      <c r="B24" s="83" t="str">
        <f>'SHIP DETAILS'!C18</f>
        <v>MUKESH KUMAR</v>
      </c>
    </row>
    <row r="25" spans="1:2" x14ac:dyDescent="0.2">
      <c r="A25" s="76" t="s">
        <v>123</v>
      </c>
      <c r="B25" s="81" t="str">
        <f>'SHIP DETAILS'!C25</f>
        <v>PRAYAN SHIPPING INC</v>
      </c>
    </row>
    <row r="26" spans="1:2" x14ac:dyDescent="0.2">
      <c r="A26" s="76" t="s">
        <v>128</v>
      </c>
      <c r="B26" s="81"/>
    </row>
    <row r="27" spans="1:2" x14ac:dyDescent="0.2">
      <c r="A27" s="76" t="s">
        <v>127</v>
      </c>
      <c r="B27" s="81"/>
    </row>
    <row r="28" spans="1:2" x14ac:dyDescent="0.2">
      <c r="A28" s="76" t="s">
        <v>106</v>
      </c>
      <c r="B28" s="86" t="str">
        <f>'SHIP DETAILS'!C12</f>
        <v>28th JANUARY 2026</v>
      </c>
    </row>
    <row r="29" spans="1:2" x14ac:dyDescent="0.2">
      <c r="A29" s="76" t="s">
        <v>114</v>
      </c>
      <c r="B29" s="87">
        <f>'SHIP DETAILS'!D13</f>
        <v>0.58333333333333304</v>
      </c>
    </row>
    <row r="30" spans="1:2" x14ac:dyDescent="0.2">
      <c r="A30" s="76" t="s">
        <v>108</v>
      </c>
      <c r="B30" s="81" t="str">
        <f>'SHIP DETAILS'!C14</f>
        <v>B#6, GANGAVARAM PORT, INDIA</v>
      </c>
    </row>
    <row r="31" spans="1:2" x14ac:dyDescent="0.2">
      <c r="A31" s="76" t="s">
        <v>115</v>
      </c>
      <c r="B31" s="85">
        <f>'TABLES 54B'!J40</f>
        <v>466.29599999999999</v>
      </c>
    </row>
    <row r="32" spans="1:2" x14ac:dyDescent="0.2">
      <c r="A32" s="76" t="s">
        <v>116</v>
      </c>
      <c r="B32" s="85">
        <f>'TABLES 54B'!J63</f>
        <v>101.592</v>
      </c>
    </row>
    <row r="33" spans="1:2" x14ac:dyDescent="0.2">
      <c r="A33" s="76" t="s">
        <v>130</v>
      </c>
      <c r="B33" s="85">
        <f ca="1">'TABLES 54B'!J50</f>
        <v>0</v>
      </c>
    </row>
    <row r="34" spans="1:2" x14ac:dyDescent="0.2">
      <c r="A34" s="76" t="s">
        <v>119</v>
      </c>
      <c r="B34" s="87">
        <f>'SHIP DETAILS'!D12</f>
        <v>0.5</v>
      </c>
    </row>
    <row r="35" spans="1:2" x14ac:dyDescent="0.2">
      <c r="A35" s="76" t="s">
        <v>111</v>
      </c>
      <c r="B35" s="81"/>
    </row>
    <row r="36" spans="1:2" x14ac:dyDescent="0.2">
      <c r="A36" s="76" t="s">
        <v>110</v>
      </c>
      <c r="B36" s="81"/>
    </row>
    <row r="37" spans="1:2" x14ac:dyDescent="0.2">
      <c r="A37" s="76" t="s">
        <v>146</v>
      </c>
      <c r="B37" s="81"/>
    </row>
    <row r="38" spans="1:2" x14ac:dyDescent="0.2">
      <c r="A38" s="76" t="s">
        <v>145</v>
      </c>
      <c r="B38" s="81"/>
    </row>
    <row r="39" spans="1:2" x14ac:dyDescent="0.2">
      <c r="A39" s="76" t="s">
        <v>112</v>
      </c>
      <c r="B39" s="81"/>
    </row>
    <row r="40" spans="1:2" x14ac:dyDescent="0.2">
      <c r="A40" s="76" t="s">
        <v>117</v>
      </c>
      <c r="B40" s="78"/>
    </row>
    <row r="41" spans="1:2" x14ac:dyDescent="0.2">
      <c r="A41" s="76" t="s">
        <v>118</v>
      </c>
      <c r="B41" s="78"/>
    </row>
    <row r="42" spans="1:2" x14ac:dyDescent="0.2">
      <c r="A42" s="76" t="s">
        <v>131</v>
      </c>
      <c r="B42" s="78"/>
    </row>
    <row r="43" spans="1:2" x14ac:dyDescent="0.2">
      <c r="A43" s="76" t="s">
        <v>148</v>
      </c>
      <c r="B43" s="78"/>
    </row>
    <row r="44" spans="1:2" x14ac:dyDescent="0.2">
      <c r="A44" s="76" t="s">
        <v>149</v>
      </c>
      <c r="B44" s="78"/>
    </row>
    <row r="45" spans="1:2" x14ac:dyDescent="0.2">
      <c r="A45" s="76" t="s">
        <v>150</v>
      </c>
      <c r="B45" s="78"/>
    </row>
  </sheetData>
  <sheetProtection algorithmName="SHA-512" hashValue="3mjdOO+AzNjEwK2E6PejUQmksI5BWwix1KNu4LqjJ05786zhIyRvY6+SQ+DXBd5N7mVhcaJCYORGbkK/BksDFQ==" saltValue="5mknu//UH1ilKbGVlMvZ/g=="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SHIP DETAILS</vt:lpstr>
      <vt:lpstr>TABLES 54B</vt:lpstr>
      <vt:lpstr>OFFHIRE </vt:lpstr>
      <vt:lpstr>STAMP</vt:lpstr>
      <vt:lpstr>INTERP</vt:lpstr>
      <vt:lpstr>REPORT</vt:lpstr>
      <vt:lpstr>INTERP!Print_Area</vt:lpstr>
      <vt:lpstr>OFFHIRE !Print_Area</vt:lpstr>
      <vt:lpstr>TABLES 54B!Print_Area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dc:creator>
  <cp:lastModifiedBy>usha Rani</cp:lastModifiedBy>
  <cp:lastPrinted>2026-03-05T07:17:23Z</cp:lastPrinted>
  <dcterms:created xsi:type="dcterms:W3CDTF">1996-09-21T12:39:14Z</dcterms:created>
  <dcterms:modified xsi:type="dcterms:W3CDTF">2026-03-05T07:17:51Z</dcterms:modified>
</cp:coreProperties>
</file>